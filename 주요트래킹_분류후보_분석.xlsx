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진행건 후보" sheetId="2" state="visible" r:id="rId4"/>
    <sheet name="완료건 후보" sheetId="3" state="visible" r:id="rId5"/>
  </sheets>
  <definedNames>
    <definedName function="false" hidden="true" localSheetId="2" name="_xlnm._FilterDatabase" vbProcedure="false">'완료건 후보'!$A$1:$J$136</definedName>
    <definedName function="false" hidden="true" localSheetId="1" name="_xlnm._FilterDatabase" vbProcedure="false">'진행건 후보'!$A$1:$J$24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<sst xmlns="http://schemas.openxmlformats.org/spreadsheetml/2006/main" count="1457" uniqueCount="344">
  <si>
    <t xml:space="preserve">주요 트래킹 분류 후보 분석 요약</t>
  </si>
  <si>
    <r>
      <rPr>
        <sz val="9"/>
        <color rgb="FF808080"/>
        <rFont val="Noto Sans CJK SC"/>
        <family val="2"/>
      </rPr>
      <t xml:space="preserve">대상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Noto Sans CJK SC"/>
        <family val="2"/>
      </rPr>
      <t xml:space="preserve">진행건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고유 </t>
    </r>
    <r>
      <rPr>
        <sz val="9"/>
        <color rgb="FF808080"/>
        <rFont val="Arial"/>
        <family val="0"/>
        <charset val="1"/>
      </rPr>
      <t xml:space="preserve">48</t>
    </r>
    <r>
      <rPr>
        <sz val="9"/>
        <color rgb="FF808080"/>
        <rFont val="Noto Sans CJK SC"/>
        <family val="2"/>
      </rPr>
      <t xml:space="preserve">건</t>
    </r>
    <r>
      <rPr>
        <sz val="9"/>
        <color rgb="FF808080"/>
        <rFont val="Arial"/>
        <family val="0"/>
        <charset val="1"/>
      </rPr>
      <t xml:space="preserve">) / </t>
    </r>
    <r>
      <rPr>
        <sz val="9"/>
        <color rgb="FF808080"/>
        <rFont val="Noto Sans CJK SC"/>
        <family val="2"/>
      </rPr>
      <t xml:space="preserve">완료건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고유 </t>
    </r>
    <r>
      <rPr>
        <sz val="9"/>
        <color rgb="FF808080"/>
        <rFont val="Arial"/>
        <family val="0"/>
        <charset val="1"/>
      </rPr>
      <t xml:space="preserve">812</t>
    </r>
    <r>
      <rPr>
        <sz val="9"/>
        <color rgb="FF808080"/>
        <rFont val="Noto Sans CJK SC"/>
        <family val="2"/>
      </rPr>
      <t xml:space="preserve">건</t>
    </r>
    <r>
      <rPr>
        <sz val="9"/>
        <color rgb="FF808080"/>
        <rFont val="Arial"/>
        <family val="0"/>
        <charset val="1"/>
      </rPr>
      <t xml:space="preserve">, 2026-01-02~08-27) · </t>
    </r>
    <r>
      <rPr>
        <sz val="9"/>
        <color rgb="FF808080"/>
        <rFont val="Noto Sans CJK SC"/>
        <family val="2"/>
      </rPr>
      <t xml:space="preserve">기준일 </t>
    </r>
    <r>
      <rPr>
        <sz val="9"/>
        <color rgb="FF808080"/>
        <rFont val="Arial"/>
        <family val="0"/>
        <charset val="1"/>
      </rPr>
      <t xml:space="preserve">2026-08-28</t>
    </r>
  </si>
  <si>
    <t xml:space="preserve">구분</t>
  </si>
  <si>
    <t xml:space="preserve">진행건</t>
  </si>
  <si>
    <t xml:space="preserve">완료건</t>
  </si>
  <si>
    <t xml:space="preserve">합계</t>
  </si>
  <si>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하자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</si>
  <si>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</si>
  <si>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개선</t>
    </r>
    <r>
      <rPr>
        <sz val="10"/>
        <rFont val="Arial"/>
        <family val="0"/>
        <charset val="1"/>
      </rPr>
      <t xml:space="preserve">)</t>
    </r>
  </si>
  <si>
    <t xml:space="preserve">주요업무</t>
  </si>
  <si>
    <t xml:space="preserve">판단 기준</t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</si>
  <si>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긴급배포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장애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하자</t>
    </r>
    <r>
      <rPr>
        <sz val="9"/>
        <color rgb="FF404040"/>
        <rFont val="Arial"/>
        <family val="0"/>
        <charset val="1"/>
      </rPr>
      <t xml:space="preserve">): </t>
    </r>
    <r>
      <rPr>
        <sz val="9"/>
        <color rgb="FF404040"/>
        <rFont val="Noto Sans CJK SC"/>
        <family val="2"/>
      </rPr>
      <t xml:space="preserve">제목에 오류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장애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하자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불가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미발송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취약점 등 키워드 </t>
    </r>
    <r>
      <rPr>
        <sz val="9"/>
        <color rgb="FF404040"/>
        <rFont val="Arial"/>
        <family val="0"/>
        <charset val="1"/>
      </rPr>
      <t xml:space="preserve">+ </t>
    </r>
    <r>
      <rPr>
        <sz val="9"/>
        <color rgb="FF404040"/>
        <rFont val="Noto Sans CJK SC"/>
        <family val="2"/>
      </rPr>
      <t xml:space="preserve">배포 수반</t>
    </r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</si>
  <si>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긴급배포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요청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개선</t>
    </r>
    <r>
      <rPr>
        <sz val="9"/>
        <color rgb="FF404040"/>
        <rFont val="Arial"/>
        <family val="0"/>
        <charset val="1"/>
      </rPr>
      <t xml:space="preserve">): </t>
    </r>
    <r>
      <rPr>
        <sz val="9"/>
        <color rgb="FF404040"/>
        <rFont val="Noto Sans CJK SC"/>
        <family val="2"/>
      </rPr>
      <t xml:space="preserve">제목에 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긴급</t>
    </r>
    <r>
      <rPr>
        <sz val="9"/>
        <color rgb="FF404040"/>
        <rFont val="Arial"/>
        <family val="0"/>
        <charset val="1"/>
      </rPr>
      <t xml:space="preserve">/[</t>
    </r>
    <r>
      <rPr>
        <sz val="9"/>
        <color rgb="FF404040"/>
        <rFont val="Noto Sans CJK SC"/>
        <family val="2"/>
      </rPr>
      <t xml:space="preserve">급</t>
    </r>
    <r>
      <rPr>
        <sz val="9"/>
        <color rgb="FF404040"/>
        <rFont val="Arial"/>
        <family val="0"/>
        <charset val="1"/>
      </rPr>
      <t xml:space="preserve">]' </t>
    </r>
    <r>
      <rPr>
        <sz val="9"/>
        <color rgb="FF404040"/>
        <rFont val="Noto Sans CJK SC"/>
        <family val="2"/>
      </rPr>
      <t xml:space="preserve">표기 또는 등록→완료 </t>
    </r>
    <r>
      <rPr>
        <sz val="9"/>
        <color rgb="FF404040"/>
        <rFont val="Arial"/>
        <family val="0"/>
        <charset val="1"/>
      </rPr>
      <t xml:space="preserve">1</t>
    </r>
    <r>
      <rPr>
        <sz val="9"/>
        <color rgb="FF404040"/>
        <rFont val="Noto Sans CJK SC"/>
        <family val="2"/>
      </rPr>
      <t xml:space="preserve">일 내 배포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정기 목요일 배포주기 외</t>
    </r>
    <r>
      <rPr>
        <sz val="9"/>
        <color rgb="FF404040"/>
        <rFont val="Arial"/>
        <family val="0"/>
        <charset val="1"/>
      </rPr>
      <t xml:space="preserve">) — </t>
    </r>
    <r>
      <rPr>
        <sz val="9"/>
        <color rgb="FF404040"/>
        <rFont val="Noto Sans CJK SC"/>
        <family val="2"/>
      </rPr>
      <t xml:space="preserve">요청팀 발이면 요청</t>
    </r>
    <r>
      <rPr>
        <sz val="9"/>
        <color rgb="FF404040"/>
        <rFont val="Arial"/>
        <family val="0"/>
        <charset val="1"/>
      </rPr>
      <t xml:space="preserve">, </t>
    </r>
    <r>
      <rPr>
        <sz val="9"/>
        <color rgb="FF404040"/>
        <rFont val="Noto Sans CJK SC"/>
        <family val="2"/>
      </rPr>
      <t xml:space="preserve">내부개선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기능개선이면 개선</t>
    </r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</si>
  <si>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주요업무</t>
    </r>
    <r>
      <rPr>
        <sz val="9"/>
        <color rgb="FF404040"/>
        <rFont val="Arial"/>
        <family val="0"/>
        <charset val="1"/>
      </rPr>
      <t xml:space="preserve">: </t>
    </r>
    <r>
      <rPr>
        <sz val="9"/>
        <color rgb="FF404040"/>
        <rFont val="Noto Sans CJK SC"/>
        <family val="2"/>
      </rPr>
      <t xml:space="preserve">구축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개편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도입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전환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시스템 개발 등 키워드 또는 </t>
    </r>
    <r>
      <rPr>
        <sz val="9"/>
        <color rgb="FF404040"/>
        <rFont val="Arial"/>
        <family val="0"/>
        <charset val="1"/>
      </rPr>
      <t xml:space="preserve">60</t>
    </r>
    <r>
      <rPr>
        <sz val="9"/>
        <color rgb="FF404040"/>
        <rFont val="Noto Sans CJK SC"/>
        <family val="2"/>
      </rPr>
      <t xml:space="preserve">일 이상 장기 개발</t>
    </r>
    <r>
      <rPr>
        <sz val="9"/>
        <color rgb="FF404040"/>
        <rFont val="Arial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배포건</t>
    </r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</si>
  <si>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확신도 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높음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은 명시적 표기</t>
    </r>
    <r>
      <rPr>
        <sz val="9"/>
        <color rgb="FF404040"/>
        <rFont val="Arial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키워드 기반</t>
    </r>
    <r>
      <rPr>
        <sz val="9"/>
        <color rgb="FF404040"/>
        <rFont val="Arial"/>
        <family val="0"/>
        <charset val="1"/>
      </rPr>
      <t xml:space="preserve">, '</t>
    </r>
    <r>
      <rPr>
        <sz val="9"/>
        <color rgb="FF404040"/>
        <rFont val="Noto Sans CJK SC"/>
        <family val="2"/>
      </rPr>
      <t xml:space="preserve">검토필요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는 정황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리드타임 등</t>
    </r>
    <r>
      <rPr>
        <sz val="9"/>
        <color rgb="FF404040"/>
        <rFont val="Arial"/>
        <family val="0"/>
        <charset val="1"/>
      </rPr>
      <t xml:space="preserve">) </t>
    </r>
    <r>
      <rPr>
        <sz val="9"/>
        <color rgb="FF404040"/>
        <rFont val="Noto Sans CJK SC"/>
        <family val="2"/>
      </rPr>
      <t xml:space="preserve">기반 추정이므로 회의에서 확정 필요</t>
    </r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</si>
  <si>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참고</t>
    </r>
    <r>
      <rPr>
        <sz val="9"/>
        <color rgb="FF404040"/>
        <rFont val="Arial"/>
        <family val="0"/>
        <charset val="1"/>
      </rPr>
      <t xml:space="preserve">: </t>
    </r>
    <r>
      <rPr>
        <sz val="9"/>
        <color rgb="FF404040"/>
        <rFont val="Noto Sans CJK SC"/>
        <family val="2"/>
      </rPr>
      <t xml:space="preserve">완료건 배포 </t>
    </r>
    <r>
      <rPr>
        <sz val="9"/>
        <color rgb="FF404040"/>
        <rFont val="Arial"/>
        <family val="0"/>
        <charset val="1"/>
      </rPr>
      <t xml:space="preserve">499</t>
    </r>
    <r>
      <rPr>
        <sz val="9"/>
        <color rgb="FF404040"/>
        <rFont val="Noto Sans CJK SC"/>
        <family val="2"/>
      </rPr>
      <t xml:space="preserve">건 중 </t>
    </r>
    <r>
      <rPr>
        <sz val="9"/>
        <color rgb="FF404040"/>
        <rFont val="Arial"/>
        <family val="0"/>
        <charset val="1"/>
      </rPr>
      <t xml:space="preserve">403</t>
    </r>
    <r>
      <rPr>
        <sz val="9"/>
        <color rgb="FF404040"/>
        <rFont val="Noto Sans CJK SC"/>
        <family val="2"/>
      </rPr>
      <t xml:space="preserve">건이 목요일 완료 → 목요일 정기배포 주기 외 완료건을 긴급배포 후보로 추정</t>
    </r>
  </si>
  <si>
    <t xml:space="preserve">시트</t>
  </si>
  <si>
    <r>
      <rPr>
        <b val="true"/>
        <sz val="10"/>
        <color rgb="FFFFFFFF"/>
        <rFont val="Noto Sans CJK SC"/>
        <family val="2"/>
      </rPr>
      <t xml:space="preserve">접수</t>
    </r>
    <r>
      <rPr>
        <b val="true"/>
        <sz val="10"/>
        <color rgb="FFFFFFFF"/>
        <rFont val="Arial"/>
        <family val="0"/>
        <charset val="1"/>
      </rPr>
      <t xml:space="preserve">RMS</t>
    </r>
  </si>
  <si>
    <t xml:space="preserve">제목</t>
  </si>
  <si>
    <t xml:space="preserve">분류</t>
  </si>
  <si>
    <t xml:space="preserve">요청팀</t>
  </si>
  <si>
    <r>
      <rPr>
        <b val="true"/>
        <sz val="10"/>
        <color rgb="FFFFFFFF"/>
        <rFont val="Arial"/>
        <family val="0"/>
        <charset val="1"/>
      </rPr>
      <t xml:space="preserve">RMS </t>
    </r>
    <r>
      <rPr>
        <b val="true"/>
        <sz val="10"/>
        <color rgb="FFFFFFFF"/>
        <rFont val="Noto Sans CJK SC"/>
        <family val="2"/>
      </rPr>
      <t xml:space="preserve">등록일</t>
    </r>
  </si>
  <si>
    <r>
      <rPr>
        <b val="true"/>
        <sz val="10"/>
        <color rgb="FFFFFFFF"/>
        <rFont val="Noto Sans CJK SC"/>
        <family val="2"/>
      </rPr>
      <t xml:space="preserve">완료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예정</t>
    </r>
    <r>
      <rPr>
        <b val="true"/>
        <sz val="10"/>
        <color rgb="FFFFFFFF"/>
        <rFont val="Arial"/>
        <family val="0"/>
        <charset val="1"/>
      </rPr>
      <t xml:space="preserve">)</t>
    </r>
    <r>
      <rPr>
        <b val="true"/>
        <sz val="10"/>
        <color rgb="FFFFFFFF"/>
        <rFont val="Noto Sans CJK SC"/>
        <family val="2"/>
      </rPr>
      <t xml:space="preserve">일</t>
    </r>
  </si>
  <si>
    <t xml:space="preserve">제안 주요트래킹</t>
  </si>
  <si>
    <t xml:space="preserve">확신도</t>
  </si>
  <si>
    <t xml:space="preserve">판단 근거</t>
  </si>
  <si>
    <t xml:space="preserve">셀프개통 완료 시 추천활동 안내 알림톡 미발송 문제 조치</t>
  </si>
  <si>
    <t xml:space="preserve">기능개선</t>
  </si>
  <si>
    <t xml:space="preserve">내부개선</t>
  </si>
  <si>
    <t xml:space="preserve">2026-08-27</t>
  </si>
  <si>
    <t xml:space="preserve">2026-09-03</t>
  </si>
  <si>
    <t xml:space="preserve">검토필요</t>
  </si>
  <si>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장애 조치 목적 배포 예정건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</si>
  <si>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  <r>
      <rPr>
        <sz val="10"/>
        <rFont val="Arial"/>
        <family val="0"/>
        <charset val="1"/>
      </rPr>
      <t xml:space="preserve">] 500201146971/ </t>
    </r>
    <r>
      <rPr>
        <sz val="10"/>
        <rFont val="Noto Sans CJK SC"/>
        <family val="2"/>
      </rPr>
      <t xml:space="preserve">이ㅇ정</t>
    </r>
  </si>
  <si>
    <t xml:space="preserve">VOC</t>
  </si>
  <si>
    <r>
      <rPr>
        <sz val="10"/>
        <rFont val="Arial"/>
        <family val="0"/>
        <charset val="1"/>
      </rPr>
      <t xml:space="preserve">CV</t>
    </r>
    <r>
      <rPr>
        <sz val="10"/>
        <rFont val="Noto Sans CJK SC"/>
        <family val="2"/>
      </rPr>
      <t xml:space="preserve">혁신팀</t>
    </r>
  </si>
  <si>
    <t xml:space="preserve">2026-08-18</t>
  </si>
  <si>
    <r>
      <rPr>
        <sz val="10"/>
        <rFont val="Noto Sans CJK SC"/>
        <family val="2"/>
      </rPr>
      <t xml:space="preserve">확인중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</si>
  <si>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상담가이드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프로모션 게시판 저장불가 오류 수정요청</t>
    </r>
  </si>
  <si>
    <t xml:space="preserve">기타</t>
  </si>
  <si>
    <t xml:space="preserve">제휴영업팀</t>
  </si>
  <si>
    <t xml:space="preserve">2026-08-25</t>
  </si>
  <si>
    <r>
      <rPr>
        <sz val="10"/>
        <rFont val="Arial"/>
        <family val="0"/>
        <charset val="1"/>
      </rPr>
      <t xml:space="preserve">[CMS] </t>
    </r>
    <r>
      <rPr>
        <sz val="10"/>
        <rFont val="Noto Sans CJK SC"/>
        <family val="2"/>
      </rPr>
      <t xml:space="preserve">프로모션 상담가이드 등록 오류 확인 요청</t>
    </r>
  </si>
  <si>
    <t xml:space="preserve">2026-08-07</t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</si>
  <si>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정책기변 예약전송 </t>
    </r>
    <r>
      <rPr>
        <sz val="10"/>
        <rFont val="Arial"/>
        <family val="0"/>
        <charset val="1"/>
      </rPr>
      <t xml:space="preserve">APIM -&gt; </t>
    </r>
    <r>
      <rPr>
        <sz val="10"/>
        <rFont val="Noto Sans CJK SC"/>
        <family val="2"/>
      </rPr>
      <t xml:space="preserve">재가입 예약전송 </t>
    </r>
    <r>
      <rPr>
        <sz val="10"/>
        <rFont val="Arial"/>
        <family val="0"/>
        <charset val="1"/>
      </rPr>
      <t xml:space="preserve">APIM</t>
    </r>
    <r>
      <rPr>
        <sz val="10"/>
        <rFont val="Noto Sans CJK SC"/>
        <family val="2"/>
      </rPr>
      <t xml:space="preserve">으로 변경</t>
    </r>
  </si>
  <si>
    <t xml:space="preserve">2026-08-28</t>
  </si>
  <si>
    <r>
      <rPr>
        <sz val="10"/>
        <rFont val="Noto Sans CJK SC"/>
        <family val="2"/>
      </rPr>
      <t xml:space="preserve">등록→완료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내 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정기 목요일 배포주기 외 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</si>
  <si>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연계정보 이용기관 안전조치 실태점검 대응</t>
    </r>
    <r>
      <rPr>
        <sz val="10"/>
        <rFont val="Arial"/>
        <family val="0"/>
        <charset val="1"/>
      </rPr>
      <t xml:space="preserve">(CI </t>
    </r>
    <r>
      <rPr>
        <sz val="10"/>
        <rFont val="Noto Sans CJK SC"/>
        <family val="2"/>
      </rPr>
      <t xml:space="preserve">취득 시 저장</t>
    </r>
    <r>
      <rPr>
        <sz val="10"/>
        <rFont val="Arial"/>
        <family val="0"/>
        <charset val="1"/>
      </rPr>
      <t xml:space="preserve">)</t>
    </r>
  </si>
  <si>
    <t xml:space="preserve">2026-08-20</t>
  </si>
  <si>
    <t xml:space="preserve">높음</t>
  </si>
  <si>
    <r>
      <rPr>
        <sz val="10"/>
        <rFont val="Noto Sans CJK SC"/>
        <family val="2"/>
      </rPr>
      <t xml:space="preserve">구축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개편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도입성 개발</t>
    </r>
  </si>
  <si>
    <r>
      <rPr>
        <sz val="10"/>
        <rFont val="Noto Sans CJK SC"/>
        <family val="2"/>
      </rPr>
      <t xml:space="preserve">홈페이지 챗봇 </t>
    </r>
    <r>
      <rPr>
        <sz val="10"/>
        <rFont val="Arial"/>
        <family val="0"/>
        <charset val="1"/>
      </rPr>
      <t xml:space="preserve">AB</t>
    </r>
    <r>
      <rPr>
        <sz val="10"/>
        <rFont val="Noto Sans CJK SC"/>
        <family val="2"/>
      </rPr>
      <t xml:space="preserve">테스트 기능 개발</t>
    </r>
  </si>
  <si>
    <t xml:space="preserve">2026-08-14</t>
  </si>
  <si>
    <t xml:space="preserve">2026-09-10</t>
  </si>
  <si>
    <r>
      <rPr>
        <sz val="10"/>
        <rFont val="Arial"/>
        <family val="0"/>
        <charset val="1"/>
      </rPr>
      <t xml:space="preserve">[CRM] </t>
    </r>
    <r>
      <rPr>
        <sz val="10"/>
        <rFont val="Noto Sans CJK SC"/>
        <family val="2"/>
      </rPr>
      <t xml:space="preserve">디파이너리 솔루션 도입 개발 요청</t>
    </r>
  </si>
  <si>
    <t xml:space="preserve">온라인그로스팀</t>
  </si>
  <si>
    <t xml:space="preserve">2026-05-22</t>
  </si>
  <si>
    <t xml:space="preserve">2026-09-17</t>
  </si>
  <si>
    <r>
      <rPr>
        <sz val="10"/>
        <rFont val="Noto Sans CJK SC"/>
        <family val="2"/>
      </rPr>
      <t xml:space="preserve">외부 제휴채널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단말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요금제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가입 프로세스 관련 개발 요청</t>
    </r>
  </si>
  <si>
    <t xml:space="preserve">2026-07-27</t>
  </si>
  <si>
    <t xml:space="preserve">2026-10-07</t>
  </si>
  <si>
    <r>
      <rPr>
        <sz val="10"/>
        <rFont val="Arial"/>
        <family val="0"/>
        <charset val="1"/>
      </rPr>
      <t xml:space="preserve">U+</t>
    </r>
    <r>
      <rPr>
        <sz val="10"/>
        <rFont val="Noto Sans CJK SC"/>
        <family val="2"/>
      </rPr>
      <t xml:space="preserve">유모바일 가입신청서 요금제 선택 화면 개편</t>
    </r>
  </si>
  <si>
    <t xml:space="preserve">2026-08-24</t>
  </si>
  <si>
    <t xml:space="preserve">2026-10-29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</si>
  <si>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마케팅팀</t>
    </r>
    <r>
      <rPr>
        <sz val="10"/>
        <rFont val="Arial"/>
        <family val="0"/>
        <charset val="1"/>
      </rPr>
      <t xml:space="preserve">] PAY </t>
    </r>
    <r>
      <rPr>
        <sz val="10"/>
        <rFont val="Noto Sans CJK SC"/>
        <family val="2"/>
      </rPr>
      <t xml:space="preserve">요금제 대상자 추출 시스템 개발 요청의 건</t>
    </r>
  </si>
  <si>
    <t xml:space="preserve">마케팅팀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</si>
  <si>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외부 플랫폼 및 채널 수수료 정산 시스템 구축 요청 건</t>
    </r>
  </si>
  <si>
    <t xml:space="preserve">2026-07-15</t>
  </si>
  <si>
    <r>
      <rPr>
        <sz val="10"/>
        <rFont val="Arial"/>
        <family val="0"/>
        <charset val="1"/>
      </rPr>
      <t xml:space="preserve">DMS </t>
    </r>
    <r>
      <rPr>
        <sz val="10"/>
        <rFont val="Noto Sans CJK SC"/>
        <family val="2"/>
      </rPr>
      <t xml:space="preserve">고객 데이터 분석 마트 구축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</si>
  <si>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사은품 지급관리시스템 기능 개선 요청 ① 민원 예외 처리</t>
    </r>
  </si>
  <si>
    <t xml:space="preserve">2026-07-06</t>
  </si>
  <si>
    <r>
      <rPr>
        <sz val="10"/>
        <rFont val="Noto Sans CJK SC"/>
        <family val="2"/>
      </rPr>
      <t xml:space="preserve">장기</t>
    </r>
    <r>
      <rPr>
        <sz val="10"/>
        <rFont val="Arial"/>
        <family val="0"/>
        <charset val="1"/>
      </rPr>
      <t xml:space="preserve">(60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+) </t>
    </r>
    <r>
      <rPr>
        <sz val="10"/>
        <rFont val="Noto Sans CJK SC"/>
        <family val="2"/>
      </rPr>
      <t xml:space="preserve">배포건</t>
    </r>
  </si>
  <si>
    <t xml:space="preserve">안면인증 결과 수신 후 자동 처리 기능 개선</t>
  </si>
  <si>
    <t xml:space="preserve">2026-06-29</t>
  </si>
  <si>
    <t xml:space="preserve">2026-10-01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</si>
  <si>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사은품 지급관리시스템 기능 개선 요청 ② 예산정책 관리 기능 개선</t>
    </r>
  </si>
  <si>
    <r>
      <rPr>
        <sz val="10"/>
        <rFont val="Arial"/>
        <family val="0"/>
        <charset val="1"/>
      </rPr>
      <t xml:space="preserve">PMS </t>
    </r>
    <r>
      <rPr>
        <sz val="10"/>
        <rFont val="Noto Sans CJK SC"/>
        <family val="2"/>
      </rPr>
      <t xml:space="preserve">內 프로모션 실적 집계 기능 개발 요청의 건</t>
    </r>
  </si>
  <si>
    <t xml:space="preserve">2026-06-05</t>
  </si>
  <si>
    <t xml:space="preserve">2026-10-15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</si>
  <si>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사은품 지급관리시스템 기능 개선 요청 ③ 소싱가 관리 기능 개선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</si>
  <si>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사은품 지급관리시스템 기능 개선 요청 ④ 예산 정책 변경 이력 관리</t>
    </r>
  </si>
  <si>
    <t xml:space="preserve">2026-11-12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</si>
  <si>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사은품 지급관리시스템 기능 개선 요청 ⑤ 대상자 추가 등록 사유 관리</t>
    </r>
  </si>
  <si>
    <t xml:space="preserve">2026-11-26</t>
  </si>
  <si>
    <t xml:space="preserve">사은품 지급확정 다운로드 파일에 컬럼 추가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</si>
  <si>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지급일정 미도래 정책 지급여부 업데이트 기능 개선</t>
    </r>
  </si>
  <si>
    <t xml:space="preserve">2026-06-26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</si>
  <si>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중복 지급 방지 기능 개발 요청</t>
    </r>
  </si>
  <si>
    <t xml:space="preserve">2026-07-03</t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</si>
  <si>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긴급</t>
    </r>
  </si>
  <si>
    <t xml:space="preserve">정보보호팀</t>
  </si>
  <si>
    <t xml:space="preserve">2026-02-19</t>
  </si>
  <si>
    <t xml:space="preserve">2026-02-26</t>
  </si>
  <si>
    <r>
      <rPr>
        <sz val="10"/>
        <rFont val="Noto Sans CJK SC"/>
        <family val="2"/>
      </rPr>
      <t xml:space="preserve">제목에 긴급</t>
    </r>
    <r>
      <rPr>
        <sz val="10"/>
        <rFont val="Arial"/>
        <family val="0"/>
        <charset val="1"/>
      </rPr>
      <t xml:space="preserve">/[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표기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장애성 키워드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</si>
  <si>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온세일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긴급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</si>
  <si>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_CMS_</t>
    </r>
    <r>
      <rPr>
        <sz val="10"/>
        <rFont val="Noto Sans CJK SC"/>
        <family val="2"/>
      </rPr>
      <t xml:space="preserve">긴급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</si>
  <si>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_WTS_</t>
    </r>
    <r>
      <rPr>
        <sz val="10"/>
        <rFont val="Noto Sans CJK SC"/>
        <family val="2"/>
      </rPr>
      <t xml:space="preserve">긴급</t>
    </r>
  </si>
  <si>
    <t xml:space="preserve">2026-03-05</t>
  </si>
  <si>
    <t xml:space="preserve">2026-03-10</t>
  </si>
  <si>
    <t xml:space="preserve">2026-03-12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</si>
  <si>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][</t>
    </r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전용관 신규 기획전 오류 내용 수정</t>
    </r>
  </si>
  <si>
    <t xml:space="preserve">컨텐츠</t>
  </si>
  <si>
    <t xml:space="preserve">영업전략팀</t>
  </si>
  <si>
    <t xml:space="preserve">2026-03-13</t>
  </si>
  <si>
    <r>
      <rPr>
        <sz val="10"/>
        <rFont val="Noto Sans CJK SC"/>
        <family val="2"/>
      </rPr>
      <t xml:space="preserve">제목에 긴급</t>
    </r>
    <r>
      <rPr>
        <sz val="10"/>
        <rFont val="Arial"/>
        <family val="0"/>
        <charset val="1"/>
      </rPr>
      <t xml:space="preserve">/[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표기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등록→완료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일 내 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정기 목요일 배포주기 외 추정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장애성 키워드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</si>
  <si>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인터넷 상담신청 페이지 오류 건</t>
    </r>
  </si>
  <si>
    <t xml:space="preserve">2026-03-16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</si>
  <si>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</si>
  <si>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모바일 메인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실시간 혜택 영역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노출 시 더보기 버튼 노출 오류 수정 요청</t>
    </r>
  </si>
  <si>
    <t xml:space="preserve">그로스온라인팀</t>
  </si>
  <si>
    <t xml:space="preserve">2026-01-07</t>
  </si>
  <si>
    <t xml:space="preserve">2026-01-08</t>
  </si>
  <si>
    <r>
      <rPr>
        <sz val="10"/>
        <rFont val="Noto Sans CJK SC"/>
        <family val="2"/>
      </rPr>
      <t xml:space="preserve">등록→완료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내 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정기 목요일 배포주기 외 추정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장애성 키워드</t>
    </r>
  </si>
  <si>
    <r>
      <rPr>
        <sz val="10"/>
        <rFont val="Noto Sans CJK SC"/>
        <family val="2"/>
      </rPr>
      <t xml:space="preserve">안면인증 이후 </t>
    </r>
    <r>
      <rPr>
        <sz val="10"/>
        <rFont val="Arial"/>
        <family val="0"/>
        <charset val="1"/>
      </rPr>
      <t xml:space="preserve">KAIT </t>
    </r>
    <r>
      <rPr>
        <sz val="10"/>
        <rFont val="Noto Sans CJK SC"/>
        <family val="2"/>
      </rPr>
      <t xml:space="preserve">실패 </t>
    </r>
    <r>
      <rPr>
        <sz val="10"/>
        <rFont val="Arial"/>
        <family val="0"/>
        <charset val="1"/>
      </rPr>
      <t xml:space="preserve">SKIP </t>
    </r>
    <r>
      <rPr>
        <sz val="10"/>
        <rFont val="Noto Sans CJK SC"/>
        <family val="2"/>
      </rPr>
      <t xml:space="preserve">되지 않는 오류</t>
    </r>
  </si>
  <si>
    <t xml:space="preserve">2026-02-02</t>
  </si>
  <si>
    <r>
      <rPr>
        <sz val="10"/>
        <rFont val="Noto Sans CJK SC"/>
        <family val="2"/>
      </rPr>
      <t xml:space="preserve">등록→완료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일 내 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정기 목요일 배포주기 외 추정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장애성 키워드</t>
    </r>
  </si>
  <si>
    <t xml:space="preserve">우리 결합 신청조회 오류수정</t>
  </si>
  <si>
    <t xml:space="preserve">2026-02-03</t>
  </si>
  <si>
    <t xml:space="preserve">2026-02-05</t>
  </si>
  <si>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장애성 키워드 </t>
    </r>
    <r>
      <rPr>
        <sz val="10"/>
        <rFont val="Arial"/>
        <family val="0"/>
        <charset val="1"/>
      </rPr>
      <t xml:space="preserve">+ 2</t>
    </r>
    <r>
      <rPr>
        <sz val="10"/>
        <rFont val="Noto Sans CJK SC"/>
        <family val="2"/>
      </rPr>
      <t xml:space="preserve">일 내 배포</t>
    </r>
  </si>
  <si>
    <r>
      <rPr>
        <sz val="10"/>
        <rFont val="Noto Sans CJK SC"/>
        <family val="2"/>
      </rPr>
      <t xml:space="preserve">월별 사용량 조회 화면 오류로 확인 요청드립니다</t>
    </r>
    <r>
      <rPr>
        <sz val="10"/>
        <rFont val="Arial"/>
        <family val="0"/>
        <charset val="1"/>
      </rPr>
      <t xml:space="preserve">.</t>
    </r>
  </si>
  <si>
    <t xml:space="preserve">2026-02-04</t>
  </si>
  <si>
    <t xml:space="preserve">사은품 정책 등록 오류 수정</t>
  </si>
  <si>
    <t xml:space="preserve">2026-02-11</t>
  </si>
  <si>
    <r>
      <rPr>
        <sz val="10"/>
        <rFont val="Noto Sans CJK SC"/>
        <family val="2"/>
      </rPr>
      <t xml:space="preserve">제공 데이터량 표기 오류 확인 요청 드립니다</t>
    </r>
    <r>
      <rPr>
        <sz val="10"/>
        <rFont val="Arial"/>
        <family val="0"/>
        <charset val="1"/>
      </rPr>
      <t xml:space="preserve">.</t>
    </r>
  </si>
  <si>
    <t xml:space="preserve">2026-03-03</t>
  </si>
  <si>
    <t xml:space="preserve">셀프개통 번호이동 불가 안내</t>
  </si>
  <si>
    <t xml:space="preserve">2026-04-07</t>
  </si>
  <si>
    <t xml:space="preserve">2026-04-08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</si>
  <si>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사은품정산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오류 수정</t>
    </r>
  </si>
  <si>
    <t xml:space="preserve">2026-04-15</t>
  </si>
  <si>
    <t xml:space="preserve">2026-04-16</t>
  </si>
  <si>
    <r>
      <rPr>
        <sz val="10"/>
        <rFont val="Noto Sans CJK SC"/>
        <family val="2"/>
      </rPr>
      <t xml:space="preserve">상용 </t>
    </r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엑셀 다운로드 버튼 오류 수정</t>
    </r>
  </si>
  <si>
    <t xml:space="preserve">2026-05-13</t>
  </si>
  <si>
    <t xml:space="preserve">2026-05-14</t>
  </si>
  <si>
    <r>
      <rPr>
        <sz val="10"/>
        <rFont val="Noto Sans CJK SC"/>
        <family val="2"/>
      </rPr>
      <t xml:space="preserve">추천인 아이디 입력 오류 확인 요청드립니다</t>
    </r>
    <r>
      <rPr>
        <sz val="10"/>
        <rFont val="Arial"/>
        <family val="0"/>
        <charset val="1"/>
      </rPr>
      <t xml:space="preserve">.</t>
    </r>
  </si>
  <si>
    <t xml:space="preserve">2026-05-15</t>
  </si>
  <si>
    <t xml:space="preserve">신청서 유심일련번호 오류 문구 초기화 수정</t>
  </si>
  <si>
    <t xml:space="preserve">2026-07-02</t>
  </si>
  <si>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장애성 키워드 </t>
    </r>
    <r>
      <rPr>
        <sz val="10"/>
        <rFont val="Arial"/>
        <family val="0"/>
        <charset val="1"/>
      </rPr>
      <t xml:space="preserve">+ 3</t>
    </r>
    <r>
      <rPr>
        <sz val="10"/>
        <rFont val="Noto Sans CJK SC"/>
        <family val="2"/>
      </rPr>
      <t xml:space="preserve">일 내 배포</t>
    </r>
  </si>
  <si>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앱 타인카드 결제 불가</t>
    </r>
  </si>
  <si>
    <t xml:space="preserve">2026-07-10</t>
  </si>
  <si>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</si>
  <si>
    <t xml:space="preserve">2026-07-24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</si>
  <si>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  <r>
      <rPr>
        <sz val="10"/>
        <rFont val="Arial"/>
        <family val="0"/>
        <charset val="1"/>
      </rPr>
      <t xml:space="preserve">]</t>
    </r>
  </si>
  <si>
    <t xml:space="preserve">2026-08-03</t>
  </si>
  <si>
    <t xml:space="preserve">2026-08-06</t>
  </si>
  <si>
    <t xml:space="preserve">추천 유심 입력 시 추천인 정보 미등록 오류</t>
  </si>
  <si>
    <t xml:space="preserve">2026-08-13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</si>
  <si>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 오류 확인요청</t>
    </r>
    <r>
      <rPr>
        <sz val="10"/>
        <rFont val="Arial"/>
        <family val="0"/>
        <charset val="1"/>
      </rPr>
      <t xml:space="preserve">] 517850076346 </t>
    </r>
    <r>
      <rPr>
        <sz val="10"/>
        <rFont val="Noto Sans CJK SC"/>
        <family val="2"/>
      </rPr>
      <t xml:space="preserve">김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우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</si>
  <si>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대상자 추출 개통요금제 조회 오류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</si>
  <si>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인터넷 기획전 및 배너영역 문구 수정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추가</t>
    </r>
  </si>
  <si>
    <t xml:space="preserve">2026-01-02</t>
  </si>
  <si>
    <r>
      <rPr>
        <sz val="10"/>
        <rFont val="Noto Sans CJK SC"/>
        <family val="2"/>
      </rPr>
      <t xml:space="preserve">제목에 긴급</t>
    </r>
    <r>
      <rPr>
        <sz val="10"/>
        <rFont val="Arial"/>
        <family val="0"/>
        <charset val="1"/>
      </rPr>
      <t xml:space="preserve">/[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표기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</si>
  <si>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인터넷 기획전 내 결합요금제 리스트 추가</t>
    </r>
  </si>
  <si>
    <r>
      <rPr>
        <sz val="10"/>
        <rFont val="Noto Sans CJK SC"/>
        <family val="2"/>
      </rPr>
      <t xml:space="preserve">제목에 긴급</t>
    </r>
    <r>
      <rPr>
        <sz val="10"/>
        <rFont val="Arial"/>
        <family val="0"/>
        <charset val="1"/>
      </rPr>
      <t xml:space="preserve">/[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표기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등록→완료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일 내 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정기 목요일 배포주기 외 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</si>
  <si>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인터넷 기획전 수정요청 </t>
    </r>
    <r>
      <rPr>
        <sz val="10"/>
        <rFont val="Arial"/>
        <family val="0"/>
        <charset val="1"/>
      </rPr>
      <t xml:space="preserve">(1/21~)</t>
    </r>
  </si>
  <si>
    <t xml:space="preserve">2026-01-16</t>
  </si>
  <si>
    <t xml:space="preserve">2026-01-20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</si>
  <si>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가입사실 확인서 내용 발급 시 내용 수정 요청의 건</t>
    </r>
  </si>
  <si>
    <t xml:space="preserve">사업기획팀</t>
  </si>
  <si>
    <t xml:space="preserve">2026-01-14</t>
  </si>
  <si>
    <t xml:space="preserve">2026-01-22</t>
  </si>
  <si>
    <t xml:space="preserve">2026-05-07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</si>
  <si>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홈페이지 소액결제 한도 관련 안내 추가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</si>
  <si>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) 8</t>
    </r>
    <r>
      <rPr>
        <sz val="10"/>
        <rFont val="Noto Sans CJK SC"/>
        <family val="2"/>
      </rPr>
      <t xml:space="preserve">월 룰렛프로모션 운영 요청</t>
    </r>
  </si>
  <si>
    <t xml:space="preserve">프로모션</t>
  </si>
  <si>
    <t xml:space="preserve">2026-08-21</t>
  </si>
  <si>
    <t xml:space="preserve">2026-08-26</t>
  </si>
  <si>
    <r>
      <rPr>
        <sz val="10"/>
        <rFont val="Noto Sans CJK SC"/>
        <family val="2"/>
      </rPr>
      <t xml:space="preserve">결합 </t>
    </r>
    <r>
      <rPr>
        <sz val="10"/>
        <rFont val="Arial"/>
        <family val="0"/>
        <charset val="1"/>
      </rPr>
      <t xml:space="preserve">GNB </t>
    </r>
    <r>
      <rPr>
        <sz val="10"/>
        <rFont val="Noto Sans CJK SC"/>
        <family val="2"/>
      </rPr>
      <t xml:space="preserve">매뉴 추가의 건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</si>
  <si>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중고 휴대폰 배터리 성능 교환 안내 문구 변경요청</t>
    </r>
  </si>
  <si>
    <t xml:space="preserve">2026-02-12</t>
  </si>
  <si>
    <r>
      <rPr>
        <sz val="10"/>
        <rFont val="Noto Sans CJK SC"/>
        <family val="2"/>
      </rPr>
      <t xml:space="preserve">홈페이지 푸터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서비스 이용가능 지역</t>
    </r>
    <r>
      <rPr>
        <sz val="10"/>
        <rFont val="Arial"/>
        <family val="0"/>
        <charset val="1"/>
      </rPr>
      <t xml:space="preserve">] URL </t>
    </r>
    <r>
      <rPr>
        <sz val="10"/>
        <rFont val="Noto Sans CJK SC"/>
        <family val="2"/>
      </rPr>
      <t xml:space="preserve">변경 요청</t>
    </r>
  </si>
  <si>
    <t xml:space="preserve">2026-03-11</t>
  </si>
  <si>
    <r>
      <rPr>
        <sz val="10"/>
        <rFont val="Noto Sans CJK SC"/>
        <family val="2"/>
      </rPr>
      <t xml:space="preserve">등록→완료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일 내 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정기 목요일 배포주기 외 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</si>
  <si>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VAS </t>
    </r>
    <r>
      <rPr>
        <sz val="10"/>
        <rFont val="Noto Sans CJK SC"/>
        <family val="2"/>
      </rPr>
      <t xml:space="preserve">자동 가입 시스템 대상 요금제 추가 요청 건</t>
    </r>
  </si>
  <si>
    <t xml:space="preserve">2026-04-23</t>
  </si>
  <si>
    <t xml:space="preserve">2026-04-24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</si>
  <si>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기간 연장</t>
    </r>
    <r>
      <rPr>
        <sz val="10"/>
        <rFont val="Arial"/>
        <family val="0"/>
        <charset val="1"/>
      </rPr>
      <t xml:space="preserve">] RMS #84732 </t>
    </r>
    <r>
      <rPr>
        <sz val="10"/>
        <rFont val="Noto Sans CJK SC"/>
        <family val="2"/>
      </rPr>
      <t xml:space="preserve">데이터 제공 프로모션 기간 연장 요청</t>
    </r>
  </si>
  <si>
    <t xml:space="preserve">다이렉트몰 인터넷요금제 페이지 사은품 금액 수정 요청</t>
  </si>
  <si>
    <t xml:space="preserve">2026-06-11</t>
  </si>
  <si>
    <t xml:space="preserve">2026-06-12</t>
  </si>
  <si>
    <t xml:space="preserve">수사공문 반기 보고통계 화면의 조회기간 수정 요청의 건</t>
  </si>
  <si>
    <t xml:space="preserve">2026-07-09</t>
  </si>
  <si>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제휴사 요청에 따른 유모바일마켓 서비스 종료 요청 건</t>
    </r>
  </si>
  <si>
    <t xml:space="preserve">2026-07-30</t>
  </si>
  <si>
    <t xml:space="preserve">2026-07-31</t>
  </si>
  <si>
    <r>
      <rPr>
        <sz val="10"/>
        <rFont val="Arial"/>
        <family val="0"/>
        <charset val="1"/>
      </rPr>
      <t xml:space="preserve">POS </t>
    </r>
    <r>
      <rPr>
        <sz val="10"/>
        <rFont val="Noto Sans CJK SC"/>
        <family val="2"/>
      </rPr>
      <t xml:space="preserve">코드 추가 요청 건</t>
    </r>
  </si>
  <si>
    <t xml:space="preserve">2026-08-12</t>
  </si>
  <si>
    <r>
      <rPr>
        <sz val="10"/>
        <rFont val="Noto Sans CJK SC"/>
        <family val="2"/>
      </rPr>
      <t xml:space="preserve">알뜰폰 허브 연동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변경</t>
    </r>
  </si>
  <si>
    <t xml:space="preserve">2026-01-05</t>
  </si>
  <si>
    <t xml:space="preserve">2026-01-06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</si>
  <si>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7GB+3M </t>
    </r>
    <r>
      <rPr>
        <sz val="10"/>
        <rFont val="Noto Sans CJK SC"/>
        <family val="2"/>
      </rPr>
      <t xml:space="preserve">상품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버튼 비활성화 요청</t>
    </r>
  </si>
  <si>
    <t xml:space="preserve">2026-01-23</t>
  </si>
  <si>
    <r>
      <rPr>
        <sz val="10"/>
        <rFont val="Arial"/>
        <family val="0"/>
        <charset val="1"/>
      </rPr>
      <t xml:space="preserve">[GA4-</t>
    </r>
    <r>
      <rPr>
        <sz val="10"/>
        <rFont val="Noto Sans CJK SC"/>
        <family val="2"/>
      </rPr>
      <t xml:space="preserve">알림톡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다이렉트몰 클릭 트래킹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재요청</t>
    </r>
    <r>
      <rPr>
        <sz val="10"/>
        <rFont val="Arial"/>
        <family val="0"/>
        <charset val="1"/>
      </rPr>
      <t xml:space="preserve">)</t>
    </r>
  </si>
  <si>
    <t xml:space="preserve">2026-01-28</t>
  </si>
  <si>
    <t xml:space="preserve">2026-01-29</t>
  </si>
  <si>
    <r>
      <rPr>
        <sz val="10"/>
        <rFont val="Noto Sans CJK SC"/>
        <family val="2"/>
      </rPr>
      <t xml:space="preserve">유모바일 모바일 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앱 데이터 과금 정책 고지</t>
    </r>
  </si>
  <si>
    <t xml:space="preserve">2026-02-23</t>
  </si>
  <si>
    <r>
      <rPr>
        <sz val="10"/>
        <rFont val="Arial"/>
        <family val="0"/>
        <charset val="1"/>
      </rPr>
      <t xml:space="preserve">[GA</t>
    </r>
    <r>
      <rPr>
        <sz val="10"/>
        <rFont val="Noto Sans CJK SC"/>
        <family val="2"/>
      </rPr>
      <t xml:space="preserve">코드 삽입요청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가입신청이력 페이지 버튼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추가</t>
    </r>
  </si>
  <si>
    <t xml:space="preserve">2026-02-24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</si>
  <si>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셀프변경 비노출 건</t>
    </r>
  </si>
  <si>
    <t xml:space="preserve">2026-03-04</t>
  </si>
  <si>
    <t xml:space="preserve">카카오 인앱브라우저 안내 미사용</t>
  </si>
  <si>
    <r>
      <rPr>
        <sz val="10"/>
        <rFont val="Noto Sans CJK SC"/>
        <family val="2"/>
      </rPr>
      <t xml:space="preserve">안면인식 인증 시스템 </t>
    </r>
    <r>
      <rPr>
        <sz val="10"/>
        <rFont val="Arial"/>
        <family val="0"/>
        <charset val="1"/>
      </rPr>
      <t xml:space="preserve">qr </t>
    </r>
    <r>
      <rPr>
        <sz val="10"/>
        <rFont val="Noto Sans CJK SC"/>
        <family val="2"/>
      </rPr>
      <t xml:space="preserve">영역 수정</t>
    </r>
  </si>
  <si>
    <t xml:space="preserve">2026-04-20</t>
  </si>
  <si>
    <r>
      <rPr>
        <sz val="10"/>
        <rFont val="Arial"/>
        <family val="0"/>
        <charset val="1"/>
      </rPr>
      <t xml:space="preserve">eSIM OCR </t>
    </r>
    <r>
      <rPr>
        <sz val="10"/>
        <rFont val="Noto Sans CJK SC"/>
        <family val="2"/>
      </rPr>
      <t xml:space="preserve">안내 문구 추가</t>
    </r>
  </si>
  <si>
    <t xml:space="preserve">2026-05-28</t>
  </si>
  <si>
    <t xml:space="preserve">2026-05-29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</si>
  <si>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기간 연장 및 대상 요금제 추가</t>
    </r>
    <r>
      <rPr>
        <sz val="10"/>
        <rFont val="Arial"/>
        <family val="0"/>
        <charset val="1"/>
      </rPr>
      <t xml:space="preserve">] RMS #84732 </t>
    </r>
    <r>
      <rPr>
        <sz val="10"/>
        <rFont val="Noto Sans CJK SC"/>
        <family val="2"/>
      </rPr>
      <t xml:space="preserve">데이터 제공 프로모션 기간 연장 요청</t>
    </r>
  </si>
  <si>
    <t xml:space="preserve">개통방법 선택 화면에서 본인명의 휴대폰 삭제</t>
  </si>
  <si>
    <t xml:space="preserve">2026-07-07</t>
  </si>
  <si>
    <r>
      <rPr>
        <sz val="10"/>
        <rFont val="Arial"/>
        <family val="0"/>
        <charset val="1"/>
      </rPr>
      <t xml:space="preserve">eSIM OCR </t>
    </r>
    <r>
      <rPr>
        <sz val="10"/>
        <rFont val="Noto Sans CJK SC"/>
        <family val="2"/>
      </rPr>
      <t xml:space="preserve">도커 이미지 교체</t>
    </r>
    <r>
      <rPr>
        <sz val="10"/>
        <rFont val="Arial"/>
        <family val="0"/>
        <charset val="1"/>
      </rPr>
      <t xml:space="preserve">_006 </t>
    </r>
    <r>
      <rPr>
        <sz val="10"/>
        <rFont val="Noto Sans CJK SC"/>
        <family val="2"/>
      </rPr>
      <t xml:space="preserve">버전</t>
    </r>
  </si>
  <si>
    <t xml:space="preserve">2026-08-05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</si>
  <si>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이마트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테이블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세 미만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여부 추가 및 별도 엑셀 파일 추출 요청 건</t>
    </r>
  </si>
  <si>
    <t xml:space="preserve">2025-12-09</t>
  </si>
  <si>
    <t xml:space="preserve">2026-01-15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</si>
  <si>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쿠폰 발송 자동화를 위한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연동 개발 요청 건 </t>
    </r>
    <r>
      <rPr>
        <sz val="10"/>
        <rFont val="Arial"/>
        <family val="0"/>
        <charset val="1"/>
      </rPr>
      <t xml:space="preserve">(GS</t>
    </r>
    <r>
      <rPr>
        <sz val="10"/>
        <rFont val="Noto Sans CJK SC"/>
        <family val="2"/>
      </rPr>
      <t xml:space="preserve">엠비즈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</si>
  <si>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(CMS)</t>
    </r>
  </si>
  <si>
    <t xml:space="preserve">2025-12-01</t>
  </si>
  <si>
    <t xml:space="preserve">2026-03-19</t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</si>
  <si>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</si>
  <si>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온세일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</si>
  <si>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</si>
  <si>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포인트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</si>
  <si>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(DMS)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</si>
  <si>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(PMS)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</si>
  <si>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(WTS)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</si>
  <si>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신규구축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정책기변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재가입 통합 관련 </t>
    </r>
    <r>
      <rPr>
        <sz val="10"/>
        <rFont val="Arial"/>
        <family val="0"/>
        <charset val="1"/>
      </rPr>
      <t xml:space="preserve">UCube </t>
    </r>
    <r>
      <rPr>
        <sz val="10"/>
        <rFont val="Noto Sans CJK SC"/>
        <family val="2"/>
      </rPr>
      <t xml:space="preserve">개발 요청</t>
    </r>
  </si>
  <si>
    <t xml:space="preserve">2025-11-13</t>
  </si>
  <si>
    <r>
      <rPr>
        <sz val="10"/>
        <rFont val="Arial"/>
        <family val="0"/>
        <charset val="1"/>
      </rPr>
      <t xml:space="preserve">[CMS] </t>
    </r>
    <r>
      <rPr>
        <sz val="10"/>
        <rFont val="Noto Sans CJK SC"/>
        <family val="2"/>
      </rPr>
      <t xml:space="preserve">문자 발송 이력 관리 시스템 구축</t>
    </r>
  </si>
  <si>
    <t xml:space="preserve">2025-11-21</t>
  </si>
  <si>
    <t xml:space="preserve">2026-03-26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</si>
  <si>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약정형 요금제 대상자 관리 시스템 개발 요청</t>
    </r>
  </si>
  <si>
    <t xml:space="preserve">2026-01-09</t>
  </si>
  <si>
    <r>
      <rPr>
        <sz val="10"/>
        <rFont val="Noto Sans CJK SC"/>
        <family val="2"/>
      </rPr>
      <t xml:space="preserve">유모바일 </t>
    </r>
    <r>
      <rPr>
        <sz val="10"/>
        <rFont val="Arial"/>
        <family val="0"/>
        <charset val="1"/>
      </rPr>
      <t xml:space="preserve">GNB </t>
    </r>
    <r>
      <rPr>
        <sz val="10"/>
        <rFont val="Noto Sans CJK SC"/>
        <family val="2"/>
      </rPr>
      <t xml:space="preserve">개편 요청의 건</t>
    </r>
  </si>
  <si>
    <t xml:space="preserve">2026-02-06</t>
  </si>
  <si>
    <t xml:space="preserve">2026-04-02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</si>
  <si>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가입신청서 전환률 개선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요금제 선택 구간 개선</t>
    </r>
  </si>
  <si>
    <t xml:space="preserve">2026-04-03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</si>
  <si>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26.03 </t>
    </r>
    <r>
      <rPr>
        <sz val="10"/>
        <rFont val="Noto Sans CJK SC"/>
        <family val="2"/>
      </rPr>
      <t xml:space="preserve">출시 신규 약정형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요금제 대상자 추출 시스템 개발 요청 건</t>
    </r>
  </si>
  <si>
    <t xml:space="preserve">2026-03-06</t>
  </si>
  <si>
    <t xml:space="preserve">2026-05-26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</si>
  <si>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가입신청서 전환률 개선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가입신청서 상품 정보 입력 페이지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개편</t>
    </r>
  </si>
  <si>
    <t xml:space="preserve">2026-04-28</t>
  </si>
  <si>
    <r>
      <rPr>
        <sz val="10"/>
        <rFont val="Arial"/>
        <family val="0"/>
        <charset val="1"/>
      </rPr>
      <t xml:space="preserve">NICE </t>
    </r>
    <r>
      <rPr>
        <sz val="10"/>
        <rFont val="Noto Sans CJK SC"/>
        <family val="2"/>
      </rPr>
      <t xml:space="preserve">휴대폰 본인확인 서비스 신규 모듈 전환 개발 요청</t>
    </r>
  </si>
  <si>
    <t xml:space="preserve">2026-05-20</t>
  </si>
  <si>
    <t xml:space="preserve">2026-06-24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</si>
  <si>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중고단말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유심요금제 판매 프로그램 도입 요청의 건</t>
    </r>
  </si>
  <si>
    <t xml:space="preserve">2026-07-08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</si>
  <si>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다이렉트몰 </t>
    </r>
    <r>
      <rPr>
        <sz val="10"/>
        <rFont val="Arial"/>
        <family val="0"/>
        <charset val="1"/>
      </rPr>
      <t xml:space="preserve">SNS </t>
    </r>
    <r>
      <rPr>
        <sz val="10"/>
        <rFont val="Noto Sans CJK SC"/>
        <family val="2"/>
      </rPr>
      <t xml:space="preserve">간편회원가입 도입의 건</t>
    </r>
  </si>
  <si>
    <t xml:space="preserve">2026-04-27</t>
  </si>
  <si>
    <r>
      <rPr>
        <sz val="10"/>
        <rFont val="Noto Sans CJK SC"/>
        <family val="2"/>
      </rPr>
      <t xml:space="preserve">다이렉트몰 요금제 찾기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추가 개선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추천 카테고리</t>
    </r>
    <r>
      <rPr>
        <sz val="10"/>
        <rFont val="Arial"/>
        <family val="0"/>
        <charset val="1"/>
      </rPr>
      <t xml:space="preserve">)</t>
    </r>
  </si>
  <si>
    <t xml:space="preserve">온라인플랫폼팀</t>
  </si>
  <si>
    <t xml:space="preserve">2025-10-23</t>
  </si>
  <si>
    <r>
      <rPr>
        <sz val="10"/>
        <rFont val="Noto Sans CJK SC"/>
        <family val="2"/>
      </rPr>
      <t xml:space="preserve">라이프케어 제휴를 통한 유포인트 시스템 연동 개발 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 수정</t>
    </r>
    <r>
      <rPr>
        <sz val="10"/>
        <rFont val="Arial"/>
        <family val="0"/>
        <charset val="1"/>
      </rPr>
      <t xml:space="preserve">)</t>
    </r>
  </si>
  <si>
    <t xml:space="preserve">2025-12-29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</si>
  <si>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포인트</t>
    </r>
    <r>
      <rPr>
        <sz val="10"/>
        <rFont val="Arial"/>
        <family val="0"/>
        <charset val="1"/>
      </rPr>
      <t xml:space="preserve">] 5</t>
    </r>
    <r>
      <rPr>
        <sz val="10"/>
        <rFont val="Noto Sans CJK SC"/>
        <family val="2"/>
      </rPr>
      <t xml:space="preserve">년 경과 분리보관 시 개인정보는 삭제</t>
    </r>
  </si>
  <si>
    <t xml:space="preserve">2025-10-13</t>
  </si>
  <si>
    <t xml:space="preserve">다이렉트몰 모바일 메인페이지 인기 요금제 영역 추가 개선 요청</t>
  </si>
  <si>
    <t xml:space="preserve">2025-10-29</t>
  </si>
  <si>
    <r>
      <rPr>
        <sz val="10"/>
        <rFont val="Arial"/>
        <family val="0"/>
        <charset val="1"/>
      </rPr>
      <t xml:space="preserve">[DMS] </t>
    </r>
    <r>
      <rPr>
        <sz val="10"/>
        <rFont val="Noto Sans CJK SC"/>
        <family val="2"/>
      </rPr>
      <t xml:space="preserve">월말 결산 세금계산서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누적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추출 로직 개선</t>
    </r>
  </si>
  <si>
    <t xml:space="preserve">2025-08-26</t>
  </si>
  <si>
    <r>
      <rPr>
        <sz val="10"/>
        <rFont val="Arial"/>
        <family val="0"/>
        <charset val="1"/>
      </rPr>
      <t xml:space="preserve">DMS </t>
    </r>
    <r>
      <rPr>
        <sz val="10"/>
        <rFont val="Noto Sans CJK SC"/>
        <family val="2"/>
      </rPr>
      <t xml:space="preserve">상 자동이체 카드번호 직접 추출 기능 요청 건</t>
    </r>
  </si>
  <si>
    <t xml:space="preserve">2025-11-27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</si>
  <si>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랜덤결합 시스템 개발 요청 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재접수</t>
    </r>
    <r>
      <rPr>
        <sz val="10"/>
        <rFont val="Arial"/>
        <family val="0"/>
        <charset val="1"/>
      </rPr>
      <t xml:space="preserve">)</t>
    </r>
  </si>
  <si>
    <t xml:space="preserve">2026-01-12</t>
  </si>
  <si>
    <r>
      <rPr>
        <sz val="10"/>
        <rFont val="Noto Sans CJK SC"/>
        <family val="2"/>
      </rPr>
      <t xml:space="preserve">사은품시스템 개선 요청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</t>
    </r>
  </si>
  <si>
    <t xml:space="preserve">2025-11-07</t>
  </si>
  <si>
    <r>
      <rPr>
        <sz val="10"/>
        <rFont val="Noto Sans CJK SC"/>
        <family val="2"/>
      </rPr>
      <t xml:space="preserve">사은품시스템 개선 요청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 - BATCH</t>
    </r>
  </si>
  <si>
    <r>
      <rPr>
        <sz val="10"/>
        <rFont val="Arial"/>
        <family val="0"/>
        <charset val="1"/>
      </rPr>
      <t xml:space="preserve">MGM VIP </t>
    </r>
    <r>
      <rPr>
        <sz val="10"/>
        <rFont val="Noto Sans CJK SC"/>
        <family val="2"/>
      </rPr>
      <t xml:space="preserve">실적 관리 데이터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</si>
  <si>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가입신청서 전환률 </t>
    </r>
    <r>
      <rPr>
        <sz val="10"/>
        <rFont val="Arial"/>
        <family val="0"/>
        <charset val="1"/>
      </rPr>
      <t xml:space="preserve">#1] </t>
    </r>
    <r>
      <rPr>
        <sz val="10"/>
        <rFont val="Noto Sans CJK SC"/>
        <family val="2"/>
      </rPr>
      <t xml:space="preserve">셀프개통 페이지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삽입 요청 </t>
    </r>
    <r>
      <rPr>
        <sz val="10"/>
        <rFont val="Arial"/>
        <family val="0"/>
        <charset val="1"/>
      </rPr>
      <t xml:space="preserve">(*GA)</t>
    </r>
  </si>
  <si>
    <r>
      <rPr>
        <sz val="10"/>
        <rFont val="Arial"/>
        <family val="0"/>
        <charset val="1"/>
      </rPr>
      <t xml:space="preserve">[ERP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] ① PMS </t>
    </r>
    <r>
      <rPr>
        <sz val="10"/>
        <rFont val="Noto Sans CJK SC"/>
        <family val="2"/>
      </rPr>
      <t xml:space="preserve">실적 연동</t>
    </r>
  </si>
  <si>
    <t xml:space="preserve">2025-10-27</t>
  </si>
  <si>
    <r>
      <rPr>
        <sz val="10"/>
        <rFont val="Arial"/>
        <family val="0"/>
        <charset val="1"/>
      </rPr>
      <t xml:space="preserve">[ERP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] ② CMS </t>
    </r>
    <r>
      <rPr>
        <sz val="10"/>
        <rFont val="Noto Sans CJK SC"/>
        <family val="2"/>
      </rPr>
      <t xml:space="preserve">단말 재고 연동</t>
    </r>
  </si>
  <si>
    <t xml:space="preserve">2025-10-31</t>
  </si>
  <si>
    <r>
      <rPr>
        <sz val="10"/>
        <rFont val="Arial"/>
        <family val="0"/>
        <charset val="1"/>
      </rPr>
      <t xml:space="preserve">[CMS / BATCH] LG</t>
    </r>
    <r>
      <rPr>
        <sz val="10"/>
        <rFont val="Noto Sans CJK SC"/>
        <family val="2"/>
      </rPr>
      <t xml:space="preserve">전자 구독 결합 서비스</t>
    </r>
  </si>
  <si>
    <t xml:space="preserve">2025-11-04</t>
  </si>
  <si>
    <t xml:space="preserve">조건부 팝업 및 통신사 기반 프로모션 노출 기능 개발 요청</t>
  </si>
  <si>
    <t xml:space="preserve">온라인 신청서 자동 개통 프로세스 추가</t>
  </si>
  <si>
    <t xml:space="preserve">2025-11-12</t>
  </si>
  <si>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자동 적립</t>
    </r>
  </si>
  <si>
    <t xml:space="preserve">2025-12-24</t>
  </si>
  <si>
    <t xml:space="preserve">납부방법 변경 시 결제일 변경기능 추가 요청의 건</t>
  </si>
  <si>
    <t xml:space="preserve">2025-12-18</t>
  </si>
  <si>
    <r>
      <rPr>
        <sz val="10"/>
        <rFont val="Arial"/>
        <family val="0"/>
        <charset val="1"/>
      </rPr>
      <t xml:space="preserve">[PMS] </t>
    </r>
    <r>
      <rPr>
        <sz val="10"/>
        <rFont val="Noto Sans CJK SC"/>
        <family val="2"/>
      </rPr>
      <t xml:space="preserve">상위 요금제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별 실적 확인 기능 요청 건</t>
    </r>
  </si>
  <si>
    <t xml:space="preserve">2025-11-05</t>
  </si>
  <si>
    <t xml:space="preserve">퍼스플러스 업체 입점 관련 페이지 개발 요청 건</t>
  </si>
  <si>
    <t xml:space="preserve">2026-01-13</t>
  </si>
  <si>
    <r>
      <rPr>
        <sz val="10"/>
        <rFont val="Arial"/>
        <family val="0"/>
        <charset val="1"/>
      </rPr>
      <t xml:space="preserve">[ERP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] ③ </t>
    </r>
    <r>
      <rPr>
        <sz val="10"/>
        <rFont val="Noto Sans CJK SC"/>
        <family val="2"/>
      </rPr>
      <t xml:space="preserve">포인트 회계 연동</t>
    </r>
  </si>
  <si>
    <t xml:space="preserve">재경팀</t>
  </si>
  <si>
    <r>
      <rPr>
        <sz val="10"/>
        <rFont val="Noto Sans CJK SC"/>
        <family val="2"/>
      </rPr>
      <t xml:space="preserve">사은품시스템 개선 요청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</si>
  <si>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교보문고 요금제 혜택 제공 기간 축소 관련 대상자 리스트 조건 수정 요청 건</t>
    </r>
  </si>
  <si>
    <t xml:space="preserve">2025-12-12</t>
  </si>
  <si>
    <t xml:space="preserve">쿠팡 자급제 이벤트 전용 신청서</t>
  </si>
  <si>
    <r>
      <rPr>
        <sz val="10"/>
        <rFont val="Noto Sans CJK SC"/>
        <family val="2"/>
      </rPr>
      <t xml:space="preserve">다모아결합 시즌</t>
    </r>
    <r>
      <rPr>
        <sz val="10"/>
        <rFont val="Arial"/>
        <family val="0"/>
        <charset val="1"/>
      </rPr>
      <t xml:space="preserve">2 (</t>
    </r>
    <r>
      <rPr>
        <sz val="10"/>
        <rFont val="Noto Sans CJK SC"/>
        <family val="2"/>
      </rPr>
      <t xml:space="preserve">혜택</t>
    </r>
    <r>
      <rPr>
        <sz val="10"/>
        <rFont val="Arial"/>
        <family val="0"/>
        <charset val="1"/>
      </rPr>
      <t xml:space="preserve">)</t>
    </r>
  </si>
  <si>
    <t xml:space="preserve">2025-09-11</t>
  </si>
  <si>
    <r>
      <rPr>
        <sz val="10"/>
        <rFont val="Arial"/>
        <family val="0"/>
        <charset val="1"/>
      </rPr>
      <t xml:space="preserve">[ERP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] ④ </t>
    </r>
    <r>
      <rPr>
        <sz val="10"/>
        <rFont val="Noto Sans CJK SC"/>
        <family val="2"/>
      </rPr>
      <t xml:space="preserve">사은품 회계 연동</t>
    </r>
  </si>
  <si>
    <t xml:space="preserve">2025-12-10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</si>
  <si>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대상자 리스트 개발 요청 건</t>
    </r>
  </si>
  <si>
    <t xml:space="preserve">2026-01-30</t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</si>
  <si>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포인트 차감내역 세부항목 문의</t>
    </r>
  </si>
  <si>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적립 편의성 개선</t>
    </r>
  </si>
  <si>
    <r>
      <rPr>
        <sz val="10"/>
        <rFont val="Noto Sans CJK SC"/>
        <family val="2"/>
      </rPr>
      <t xml:space="preserve">안면인식 인증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공유 기능 수정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</si>
  <si>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다이렉트몰 오늘배송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배송상태 변경을 위한 연동 요청</t>
    </r>
  </si>
  <si>
    <t xml:space="preserve">2026-01-26</t>
  </si>
  <si>
    <t xml:space="preserve">2026-04-29</t>
  </si>
  <si>
    <t xml:space="preserve">기존 고객대상 랜덤결합 기능 개발</t>
  </si>
  <si>
    <t xml:space="preserve">2026-02-09</t>
  </si>
  <si>
    <r>
      <rPr>
        <sz val="10"/>
        <rFont val="Noto Sans CJK SC"/>
        <family val="2"/>
      </rPr>
      <t xml:space="preserve">다모아결합 구성원 변동시 자동 알림톡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발송 요청의 件</t>
    </r>
  </si>
  <si>
    <r>
      <rPr>
        <sz val="10"/>
        <rFont val="Noto Sans CJK SC"/>
        <family val="2"/>
      </rPr>
      <t xml:space="preserve">유모바일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개인정보처리방침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주요 개정 내용 보기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생성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</si>
  <si>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교보문고 요금제 신규 대상자 리스트 개발 요청 건</t>
    </r>
  </si>
  <si>
    <t xml:space="preserve">2026-02-27</t>
  </si>
  <si>
    <t xml:space="preserve">다이렉트몰 브랜드관 변경</t>
  </si>
  <si>
    <r>
      <rPr>
        <sz val="10"/>
        <rFont val="Arial"/>
        <family val="0"/>
        <charset val="1"/>
      </rPr>
      <t xml:space="preserve">(CMS) </t>
    </r>
    <r>
      <rPr>
        <sz val="10"/>
        <rFont val="Noto Sans CJK SC"/>
        <family val="2"/>
      </rPr>
      <t xml:space="preserve">상품 사은품 관리 영역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나에게 맞는 추천 요금제 그룹 관리 영역 개선 요청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요금제 가격 기준 필터 설정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</si>
  <si>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보험 신청서 자동 접수 기능 개발 요청</t>
    </r>
  </si>
  <si>
    <r>
      <rPr>
        <sz val="10"/>
        <rFont val="Noto Sans CJK SC"/>
        <family val="2"/>
      </rPr>
      <t xml:space="preserve">휴대폰 전용관 </t>
    </r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이미지 시스템화 개발 요청</t>
    </r>
  </si>
  <si>
    <t xml:space="preserve">2026-05-12</t>
  </si>
  <si>
    <t xml:space="preserve">2026-06-02</t>
  </si>
  <si>
    <r>
      <rPr>
        <sz val="10"/>
        <rFont val="Arial"/>
        <family val="0"/>
        <charset val="1"/>
      </rPr>
      <t xml:space="preserve">[CV</t>
    </r>
    <r>
      <rPr>
        <sz val="10"/>
        <rFont val="Noto Sans CJK SC"/>
        <family val="2"/>
      </rPr>
      <t xml:space="preserve">혁신팀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우리결합 신청과정 다모아결합 신청하기 기능 추가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</si>
  <si>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[CMS] </t>
    </r>
    <r>
      <rPr>
        <sz val="10"/>
        <rFont val="Noto Sans CJK SC"/>
        <family val="2"/>
      </rPr>
      <t xml:space="preserve">제휴 가입신청서 </t>
    </r>
    <r>
      <rPr>
        <sz val="10"/>
        <rFont val="Arial"/>
        <family val="0"/>
        <charset val="1"/>
      </rPr>
      <t xml:space="preserve">BI </t>
    </r>
    <r>
      <rPr>
        <sz val="10"/>
        <rFont val="Noto Sans CJK SC"/>
        <family val="2"/>
      </rPr>
      <t xml:space="preserve">관리 기능 추가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</si>
  <si>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 개발 요청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약정형 요금제 제휴처 구분을 위한 외부신청서 연동 및 대안 검토</t>
    </r>
  </si>
  <si>
    <t xml:space="preserve">2026-03-30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</si>
  <si>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가입신청서 전환률 개선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가입신청서 개통방법 선택 화면 개편</t>
    </r>
  </si>
  <si>
    <t xml:space="preserve">2026-05-25</t>
  </si>
  <si>
    <t xml:space="preserve">2026-06-18</t>
  </si>
  <si>
    <r>
      <rPr>
        <sz val="10"/>
        <rFont val="Arial"/>
        <family val="0"/>
        <charset val="1"/>
      </rPr>
      <t xml:space="preserve">(CMS) </t>
    </r>
    <r>
      <rPr>
        <sz val="10"/>
        <rFont val="Noto Sans CJK SC"/>
        <family val="2"/>
      </rPr>
      <t xml:space="preserve">휴대폰신청서 내 이벤트코드 추가 선택 기능 개발 요청</t>
    </r>
  </si>
  <si>
    <t xml:space="preserve">2026-06-25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</si>
  <si>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알뜰폰허브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신규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연동 추가 요청의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</si>
  <si>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예산정책 일괄 업로드 기능 추가</t>
    </r>
  </si>
  <si>
    <r>
      <rPr>
        <sz val="10"/>
        <rFont val="Arial"/>
        <family val="0"/>
        <charset val="1"/>
      </rPr>
      <t xml:space="preserve">[ERP] </t>
    </r>
    <r>
      <rPr>
        <sz val="10"/>
        <rFont val="Noto Sans CJK SC"/>
        <family val="2"/>
      </rPr>
      <t xml:space="preserve">단말 재고 연동 결과 자동 메일 발송 기능</t>
    </r>
  </si>
  <si>
    <t xml:space="preserve">2026-07-23</t>
  </si>
  <si>
    <r>
      <rPr>
        <sz val="10"/>
        <rFont val="Arial"/>
        <family val="0"/>
        <charset val="1"/>
      </rPr>
      <t xml:space="preserve">WTS, DMS, PMS </t>
    </r>
    <r>
      <rPr>
        <sz val="10"/>
        <rFont val="Noto Sans CJK SC"/>
        <family val="2"/>
      </rPr>
      <t xml:space="preserve">개인정보 취약점 점검 및 조치 개발 </t>
    </r>
    <r>
      <rPr>
        <sz val="10"/>
        <rFont val="Arial"/>
        <family val="0"/>
        <charset val="1"/>
      </rPr>
      <t xml:space="preserve">(WTS)</t>
    </r>
  </si>
  <si>
    <t xml:space="preserve">2026-02-25</t>
  </si>
  <si>
    <r>
      <rPr>
        <sz val="10"/>
        <rFont val="Arial"/>
        <family val="0"/>
        <charset val="1"/>
      </rPr>
      <t xml:space="preserve">WTS, DMS, PMS </t>
    </r>
    <r>
      <rPr>
        <sz val="10"/>
        <rFont val="Noto Sans CJK SC"/>
        <family val="2"/>
      </rPr>
      <t xml:space="preserve">개인정보 취약점 점검 및 조치 개발 </t>
    </r>
    <r>
      <rPr>
        <sz val="10"/>
        <rFont val="Arial"/>
        <family val="0"/>
        <charset val="1"/>
      </rPr>
      <t xml:space="preserve">(DMS)</t>
    </r>
  </si>
  <si>
    <r>
      <rPr>
        <sz val="10"/>
        <rFont val="Arial"/>
        <family val="0"/>
        <charset val="1"/>
      </rPr>
      <t xml:space="preserve">WTS, DMS, PMS </t>
    </r>
    <r>
      <rPr>
        <sz val="10"/>
        <rFont val="Noto Sans CJK SC"/>
        <family val="2"/>
      </rPr>
      <t xml:space="preserve">개인정보 취약점 점검 및 조치 개발 </t>
    </r>
    <r>
      <rPr>
        <sz val="10"/>
        <rFont val="Arial"/>
        <family val="0"/>
        <charset val="1"/>
      </rPr>
      <t xml:space="preserve">(PMS)</t>
    </r>
  </si>
  <si>
    <t xml:space="preserve">오프라인 약정형 요금제 재약정 신청 페이지 제작 건</t>
  </si>
  <si>
    <t xml:space="preserve">2026-05-04</t>
  </si>
  <si>
    <r>
      <rPr>
        <sz val="10"/>
        <rFont val="Noto Sans CJK SC"/>
        <family val="2"/>
      </rPr>
      <t xml:space="preserve">연계정보 실태점검 중 </t>
    </r>
    <r>
      <rPr>
        <sz val="10"/>
        <rFont val="Arial"/>
        <family val="0"/>
        <charset val="1"/>
      </rPr>
      <t xml:space="preserve">CI </t>
    </r>
    <r>
      <rPr>
        <sz val="10"/>
        <rFont val="Noto Sans CJK SC"/>
        <family val="2"/>
      </rPr>
      <t xml:space="preserve">값 노출 관련 조치</t>
    </r>
  </si>
  <si>
    <t xml:space="preserve">2026-07-28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</si>
  <si>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대상자 추출 및 수기 업로드 로직 수정</t>
    </r>
  </si>
  <si>
    <r>
      <rPr>
        <sz val="10"/>
        <rFont val="Arial"/>
        <family val="0"/>
        <charset val="1"/>
      </rPr>
      <t xml:space="preserve">[DMS] </t>
    </r>
    <r>
      <rPr>
        <sz val="10"/>
        <rFont val="Noto Sans CJK SC"/>
        <family val="2"/>
      </rPr>
      <t xml:space="preserve">개인정보 접속기록 점검표</t>
    </r>
  </si>
  <si>
    <r>
      <rPr>
        <sz val="10"/>
        <rFont val="Arial"/>
        <family val="0"/>
        <charset val="1"/>
      </rPr>
      <t xml:space="preserve">[WTS] </t>
    </r>
    <r>
      <rPr>
        <sz val="10"/>
        <rFont val="Noto Sans CJK SC"/>
        <family val="2"/>
      </rPr>
      <t xml:space="preserve">개인정보 접속기록 점검표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</si>
  <si>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쿠폰팩 요금제 대상자 리스트 연동 개발 수정 검토 요청 건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</si>
</sst>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9"/>
      <color rgb="FF404040"/>
      <name val="Noto Sans CJK SC"/>
      <family val="2"/>
    </font>
    <font>
      <sz val="9"/>
      <color rgb="FF404040"/>
      <name val="Arial"/>
      <family val="0"/>
      <charset val="1"/>
    </font>
    <font>
      <sz val="9"/>
      <color rgb="FF40404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15" hidden="false" customHeight="false" outlineLevel="0" collapsed="false">
      <c r="B6" s="4" t="s">
        <v>6</v>
      </c>
      <c r="C6" s="5" t="n">
        <f aca="false">COUNTIF('진행건 후보'!H:H,B6)</f>
        <v>4</v>
      </c>
      <c r="D6" s="5" t="n">
        <f aca="false">COUNTIF('완료건 후보'!H:H,B6)</f>
        <v>25</v>
      </c>
      <c r="E6" s="5" t="n">
        <f aca="false">C6+D6</f>
        <v>29</v>
      </c>
    </row>
    <row r="7" customFormat="false" ht="15" hidden="false" customHeight="false" outlineLevel="0" collapsed="false">
      <c r="B7" s="6" t="s">
        <v>7</v>
      </c>
      <c r="C7" s="5" t="n">
        <f aca="false">COUNTIF('진행건 후보'!H:H,B7)</f>
        <v>0</v>
      </c>
      <c r="D7" s="5" t="n">
        <f aca="false">COUNTIF('완료건 후보'!H:H,B7)</f>
        <v>17</v>
      </c>
      <c r="E7" s="5" t="n">
        <f aca="false">C7+D7</f>
        <v>17</v>
      </c>
    </row>
    <row r="8" customFormat="false" ht="15" hidden="false" customHeight="false" outlineLevel="0" collapsed="false">
      <c r="B8" s="7" t="s">
        <v>8</v>
      </c>
      <c r="C8" s="5" t="n">
        <f aca="false">COUNTIF('진행건 후보'!H:H,B8)</f>
        <v>1</v>
      </c>
      <c r="D8" s="5" t="n">
        <f aca="false">COUNTIF('완료건 후보'!H:H,B8)</f>
        <v>14</v>
      </c>
      <c r="E8" s="5" t="n">
        <f aca="false">C8+D8</f>
        <v>15</v>
      </c>
    </row>
    <row r="9" customFormat="false" ht="15" hidden="false" customHeight="false" outlineLevel="0" collapsed="false">
      <c r="B9" s="8" t="s">
        <v>9</v>
      </c>
      <c r="C9" s="5" t="n">
        <f aca="false">COUNTIF('진행건 후보'!H:H,B9)</f>
        <v>18</v>
      </c>
      <c r="D9" s="5" t="n">
        <f aca="false">COUNTIF('완료건 후보'!H:H,B9)</f>
        <v>79</v>
      </c>
      <c r="E9" s="5" t="n">
        <f aca="false">C9+D9</f>
        <v>97</v>
      </c>
    </row>
    <row r="10" customFormat="false" ht="15" hidden="false" customHeight="false" outlineLevel="0" collapsed="false">
      <c r="B10" s="9" t="s">
        <v>5</v>
      </c>
      <c r="C10" s="9" t="n">
        <f aca="false">SUM(C6:C9)</f>
        <v>23</v>
      </c>
      <c r="D10" s="9" t="n">
        <f aca="false">SUM(D6:D9)</f>
        <v>135</v>
      </c>
      <c r="E10" s="9" t="n">
        <f aca="false">SUM(E6:E9)</f>
        <v>158</v>
      </c>
    </row>
    <row r="12" customFormat="false" ht="15" hidden="false" customHeight="false" outlineLevel="0" collapsed="false">
      <c r="B12" s="10" t="s">
        <v>10</v>
      </c>
    </row>
    <row r="13" customFormat="false" ht="15" hidden="false" customHeight="false" outlineLevel="0" collapsed="false">
      <c r="B13" s="11" t="s">
        <v>11</v>
      </c>
    </row>
    <row r="14" customFormat="false" ht="15" hidden="false" customHeight="false" outlineLevel="0" collapsed="false">
      <c r="B14" s="11" t="s">
        <v>12</v>
      </c>
    </row>
    <row r="15" customFormat="false" ht="15" hidden="false" customHeight="false" outlineLevel="0" collapsed="false">
      <c r="B15" s="11" t="s">
        <v>13</v>
      </c>
    </row>
    <row r="16" customFormat="false" ht="15" hidden="false" customHeight="false" outlineLevel="0" collapsed="false">
      <c r="B16" s="11" t="s">
        <v>14</v>
      </c>
    </row>
    <row r="17" customFormat="false" ht="15" hidden="false" customHeight="false" outlineLevel="0" collapsed="false">
      <c r="B17" s="1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7"/>
    <col collapsed="false" customWidth="true" hidden="false" outlineLevel="0" max="9" min="9" style="0" width="9"/>
    <col collapsed="false" customWidth="true" hidden="false" outlineLevel="0" max="10" min="10" style="0" width="45"/>
  </cols>
  <sheetData>
    <row r="1" customFormat="false" ht="15" hidden="false" customHeight="false" outlineLevel="0" collapsed="false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3" t="s">
        <v>21</v>
      </c>
      <c r="G1" s="12" t="s">
        <v>22</v>
      </c>
      <c r="H1" s="12" t="s">
        <v>23</v>
      </c>
      <c r="I1" s="12" t="s">
        <v>24</v>
      </c>
      <c r="J1" s="12" t="s">
        <v>25</v>
      </c>
    </row>
    <row r="2" customFormat="false" ht="15" hidden="false" customHeight="false" outlineLevel="0" collapsed="false">
      <c r="A2" s="14" t="s">
        <v>3</v>
      </c>
      <c r="B2" s="14" t="n">
        <v>86892</v>
      </c>
      <c r="C2" s="15" t="s">
        <v>26</v>
      </c>
      <c r="D2" s="14" t="s">
        <v>27</v>
      </c>
      <c r="E2" s="14" t="s">
        <v>28</v>
      </c>
      <c r="F2" s="16" t="s">
        <v>29</v>
      </c>
      <c r="G2" s="16" t="s">
        <v>30</v>
      </c>
      <c r="H2" s="17" t="s">
        <v>6</v>
      </c>
      <c r="I2" s="14" t="s">
        <v>31</v>
      </c>
      <c r="J2" s="15" t="s">
        <v>32</v>
      </c>
    </row>
    <row r="3" customFormat="false" ht="15" hidden="false" customHeight="false" outlineLevel="0" collapsed="false">
      <c r="A3" s="14" t="s">
        <v>3</v>
      </c>
      <c r="B3" s="14" t="n">
        <v>86684</v>
      </c>
      <c r="C3" s="18" t="s">
        <v>33</v>
      </c>
      <c r="D3" s="16" t="s">
        <v>34</v>
      </c>
      <c r="E3" s="16" t="s">
        <v>35</v>
      </c>
      <c r="F3" s="16" t="s">
        <v>36</v>
      </c>
      <c r="G3" s="14" t="s">
        <v>37</v>
      </c>
      <c r="H3" s="17" t="s">
        <v>6</v>
      </c>
      <c r="I3" s="14" t="s">
        <v>31</v>
      </c>
      <c r="J3" s="15" t="s">
        <v>32</v>
      </c>
    </row>
    <row r="4" customFormat="false" ht="15" hidden="false" customHeight="false" outlineLevel="0" collapsed="false">
      <c r="A4" s="14" t="s">
        <v>3</v>
      </c>
      <c r="B4" s="14" t="n">
        <v>86820</v>
      </c>
      <c r="C4" s="18" t="s">
        <v>38</v>
      </c>
      <c r="D4" s="14" t="s">
        <v>39</v>
      </c>
      <c r="E4" s="14" t="s">
        <v>40</v>
      </c>
      <c r="F4" s="16" t="s">
        <v>41</v>
      </c>
      <c r="G4" s="14" t="s">
        <v>37</v>
      </c>
      <c r="H4" s="17" t="s">
        <v>6</v>
      </c>
      <c r="I4" s="14" t="s">
        <v>31</v>
      </c>
      <c r="J4" s="15" t="s">
        <v>32</v>
      </c>
    </row>
    <row r="5" customFormat="false" ht="15" hidden="false" customHeight="false" outlineLevel="0" collapsed="false">
      <c r="A5" s="14" t="s">
        <v>3</v>
      </c>
      <c r="B5" s="14" t="n">
        <v>86550</v>
      </c>
      <c r="C5" s="18" t="s">
        <v>42</v>
      </c>
      <c r="D5" s="14" t="s">
        <v>39</v>
      </c>
      <c r="E5" s="14" t="s">
        <v>40</v>
      </c>
      <c r="F5" s="16" t="s">
        <v>43</v>
      </c>
      <c r="G5" s="14" t="s">
        <v>37</v>
      </c>
      <c r="H5" s="17" t="s">
        <v>6</v>
      </c>
      <c r="I5" s="14" t="s">
        <v>31</v>
      </c>
      <c r="J5" s="15" t="s">
        <v>32</v>
      </c>
    </row>
    <row r="6" customFormat="false" ht="15" hidden="false" customHeight="false" outlineLevel="0" collapsed="false">
      <c r="A6" s="14" t="s">
        <v>3</v>
      </c>
      <c r="B6" s="14" t="n">
        <v>86863</v>
      </c>
      <c r="C6" s="18" t="s">
        <v>44</v>
      </c>
      <c r="D6" s="14" t="s">
        <v>39</v>
      </c>
      <c r="E6" s="14" t="s">
        <v>28</v>
      </c>
      <c r="F6" s="16" t="s">
        <v>29</v>
      </c>
      <c r="G6" s="16" t="s">
        <v>45</v>
      </c>
      <c r="H6" s="19" t="s">
        <v>8</v>
      </c>
      <c r="I6" s="14" t="s">
        <v>31</v>
      </c>
      <c r="J6" s="15" t="s">
        <v>46</v>
      </c>
    </row>
    <row r="7" customFormat="false" ht="15" hidden="false" customHeight="false" outlineLevel="0" collapsed="false">
      <c r="A7" s="14" t="s">
        <v>3</v>
      </c>
      <c r="B7" s="14" t="n">
        <v>86729</v>
      </c>
      <c r="C7" s="15" t="s">
        <v>47</v>
      </c>
      <c r="D7" s="14" t="s">
        <v>27</v>
      </c>
      <c r="E7" s="14" t="s">
        <v>28</v>
      </c>
      <c r="F7" s="16" t="s">
        <v>48</v>
      </c>
      <c r="G7" s="16" t="s">
        <v>30</v>
      </c>
      <c r="H7" s="20" t="s">
        <v>9</v>
      </c>
      <c r="I7" s="21" t="s">
        <v>49</v>
      </c>
      <c r="J7" s="15" t="s">
        <v>50</v>
      </c>
    </row>
    <row r="8" customFormat="false" ht="15" hidden="false" customHeight="false" outlineLevel="0" collapsed="false">
      <c r="A8" s="14" t="s">
        <v>3</v>
      </c>
      <c r="B8" s="14" t="n">
        <v>86629</v>
      </c>
      <c r="C8" s="15" t="s">
        <v>51</v>
      </c>
      <c r="D8" s="14" t="s">
        <v>27</v>
      </c>
      <c r="E8" s="14" t="s">
        <v>28</v>
      </c>
      <c r="F8" s="16" t="s">
        <v>52</v>
      </c>
      <c r="G8" s="16" t="s">
        <v>53</v>
      </c>
      <c r="H8" s="20" t="s">
        <v>9</v>
      </c>
      <c r="I8" s="21" t="s">
        <v>49</v>
      </c>
      <c r="J8" s="15" t="s">
        <v>50</v>
      </c>
    </row>
    <row r="9" customFormat="false" ht="15" hidden="false" customHeight="false" outlineLevel="0" collapsed="false">
      <c r="A9" s="14" t="s">
        <v>3</v>
      </c>
      <c r="B9" s="14" t="n">
        <v>85162</v>
      </c>
      <c r="C9" s="18" t="s">
        <v>54</v>
      </c>
      <c r="D9" s="14" t="s">
        <v>27</v>
      </c>
      <c r="E9" s="14" t="s">
        <v>55</v>
      </c>
      <c r="F9" s="16" t="s">
        <v>56</v>
      </c>
      <c r="G9" s="16" t="s">
        <v>57</v>
      </c>
      <c r="H9" s="20" t="s">
        <v>9</v>
      </c>
      <c r="I9" s="21" t="s">
        <v>49</v>
      </c>
      <c r="J9" s="15" t="s">
        <v>50</v>
      </c>
    </row>
    <row r="10" customFormat="false" ht="15" hidden="false" customHeight="false" outlineLevel="0" collapsed="false">
      <c r="A10" s="14" t="s">
        <v>3</v>
      </c>
      <c r="B10" s="14" t="n">
        <v>86297</v>
      </c>
      <c r="C10" s="15" t="s">
        <v>58</v>
      </c>
      <c r="D10" s="14" t="s">
        <v>39</v>
      </c>
      <c r="E10" s="14" t="s">
        <v>40</v>
      </c>
      <c r="F10" s="16" t="s">
        <v>59</v>
      </c>
      <c r="G10" s="16" t="s">
        <v>60</v>
      </c>
      <c r="H10" s="20" t="s">
        <v>9</v>
      </c>
      <c r="I10" s="21" t="s">
        <v>49</v>
      </c>
      <c r="J10" s="15" t="s">
        <v>50</v>
      </c>
    </row>
    <row r="11" customFormat="false" ht="15" hidden="false" customHeight="false" outlineLevel="0" collapsed="false">
      <c r="A11" s="14" t="s">
        <v>3</v>
      </c>
      <c r="B11" s="14" t="n">
        <v>86793</v>
      </c>
      <c r="C11" s="18" t="s">
        <v>61</v>
      </c>
      <c r="D11" s="14" t="s">
        <v>27</v>
      </c>
      <c r="E11" s="14" t="s">
        <v>28</v>
      </c>
      <c r="F11" s="16" t="s">
        <v>62</v>
      </c>
      <c r="G11" s="16" t="s">
        <v>63</v>
      </c>
      <c r="H11" s="20" t="s">
        <v>9</v>
      </c>
      <c r="I11" s="21" t="s">
        <v>49</v>
      </c>
      <c r="J11" s="15" t="s">
        <v>50</v>
      </c>
    </row>
    <row r="12" customFormat="false" ht="15" hidden="false" customHeight="false" outlineLevel="0" collapsed="false">
      <c r="A12" s="14" t="s">
        <v>3</v>
      </c>
      <c r="B12" s="14" t="n">
        <v>86652</v>
      </c>
      <c r="C12" s="18" t="s">
        <v>64</v>
      </c>
      <c r="D12" s="14" t="s">
        <v>27</v>
      </c>
      <c r="E12" s="14" t="s">
        <v>65</v>
      </c>
      <c r="F12" s="16" t="s">
        <v>52</v>
      </c>
      <c r="G12" s="14" t="s">
        <v>37</v>
      </c>
      <c r="H12" s="20" t="s">
        <v>9</v>
      </c>
      <c r="I12" s="21" t="s">
        <v>49</v>
      </c>
      <c r="J12" s="15" t="s">
        <v>50</v>
      </c>
    </row>
    <row r="13" customFormat="false" ht="15" hidden="false" customHeight="false" outlineLevel="0" collapsed="false">
      <c r="A13" s="14" t="s">
        <v>3</v>
      </c>
      <c r="B13" s="14" t="n">
        <v>86106</v>
      </c>
      <c r="C13" s="18" t="s">
        <v>66</v>
      </c>
      <c r="D13" s="14" t="s">
        <v>27</v>
      </c>
      <c r="E13" s="14" t="s">
        <v>40</v>
      </c>
      <c r="F13" s="16" t="s">
        <v>67</v>
      </c>
      <c r="G13" s="14" t="s">
        <v>37</v>
      </c>
      <c r="H13" s="20" t="s">
        <v>9</v>
      </c>
      <c r="I13" s="21" t="s">
        <v>49</v>
      </c>
      <c r="J13" s="15" t="s">
        <v>50</v>
      </c>
    </row>
    <row r="14" customFormat="false" ht="15" hidden="false" customHeight="false" outlineLevel="0" collapsed="false">
      <c r="A14" s="14" t="s">
        <v>3</v>
      </c>
      <c r="B14" s="14" t="n">
        <v>86787</v>
      </c>
      <c r="C14" s="18" t="s">
        <v>68</v>
      </c>
      <c r="D14" s="14" t="s">
        <v>39</v>
      </c>
      <c r="E14" s="14" t="s">
        <v>28</v>
      </c>
      <c r="F14" s="16" t="s">
        <v>62</v>
      </c>
      <c r="G14" s="14" t="s">
        <v>37</v>
      </c>
      <c r="H14" s="20" t="s">
        <v>9</v>
      </c>
      <c r="I14" s="21" t="s">
        <v>49</v>
      </c>
      <c r="J14" s="15" t="s">
        <v>50</v>
      </c>
    </row>
    <row r="15" customFormat="false" ht="15" hidden="false" customHeight="false" outlineLevel="0" collapsed="false">
      <c r="A15" s="14" t="s">
        <v>3</v>
      </c>
      <c r="B15" s="14" t="n">
        <v>85930</v>
      </c>
      <c r="C15" s="18" t="s">
        <v>69</v>
      </c>
      <c r="D15" s="14" t="s">
        <v>27</v>
      </c>
      <c r="E15" s="14" t="s">
        <v>65</v>
      </c>
      <c r="F15" s="16" t="s">
        <v>70</v>
      </c>
      <c r="G15" s="16" t="s">
        <v>57</v>
      </c>
      <c r="H15" s="20" t="s">
        <v>9</v>
      </c>
      <c r="I15" s="14" t="s">
        <v>31</v>
      </c>
      <c r="J15" s="15" t="s">
        <v>71</v>
      </c>
    </row>
    <row r="16" customFormat="false" ht="15" hidden="false" customHeight="false" outlineLevel="0" collapsed="false">
      <c r="A16" s="14" t="s">
        <v>3</v>
      </c>
      <c r="B16" s="14" t="n">
        <v>85816</v>
      </c>
      <c r="C16" s="15" t="s">
        <v>72</v>
      </c>
      <c r="D16" s="14" t="s">
        <v>39</v>
      </c>
      <c r="E16" s="14" t="s">
        <v>28</v>
      </c>
      <c r="F16" s="16" t="s">
        <v>73</v>
      </c>
      <c r="G16" s="16" t="s">
        <v>74</v>
      </c>
      <c r="H16" s="20" t="s">
        <v>9</v>
      </c>
      <c r="I16" s="14" t="s">
        <v>31</v>
      </c>
      <c r="J16" s="15" t="s">
        <v>71</v>
      </c>
    </row>
    <row r="17" customFormat="false" ht="15" hidden="false" customHeight="false" outlineLevel="0" collapsed="false">
      <c r="A17" s="14" t="s">
        <v>3</v>
      </c>
      <c r="B17" s="14" t="n">
        <v>85930</v>
      </c>
      <c r="C17" s="18" t="s">
        <v>75</v>
      </c>
      <c r="D17" s="14" t="s">
        <v>27</v>
      </c>
      <c r="E17" s="14" t="s">
        <v>65</v>
      </c>
      <c r="F17" s="16" t="s">
        <v>70</v>
      </c>
      <c r="G17" s="16" t="s">
        <v>74</v>
      </c>
      <c r="H17" s="20" t="s">
        <v>9</v>
      </c>
      <c r="I17" s="14" t="s">
        <v>31</v>
      </c>
      <c r="J17" s="15" t="s">
        <v>71</v>
      </c>
    </row>
    <row r="18" customFormat="false" ht="15" hidden="false" customHeight="false" outlineLevel="0" collapsed="false">
      <c r="A18" s="14" t="s">
        <v>3</v>
      </c>
      <c r="B18" s="14" t="n">
        <v>85418</v>
      </c>
      <c r="C18" s="18" t="s">
        <v>76</v>
      </c>
      <c r="D18" s="14" t="s">
        <v>27</v>
      </c>
      <c r="E18" s="14" t="s">
        <v>55</v>
      </c>
      <c r="F18" s="16" t="s">
        <v>77</v>
      </c>
      <c r="G18" s="16" t="s">
        <v>78</v>
      </c>
      <c r="H18" s="20" t="s">
        <v>9</v>
      </c>
      <c r="I18" s="14" t="s">
        <v>31</v>
      </c>
      <c r="J18" s="15" t="s">
        <v>71</v>
      </c>
    </row>
    <row r="19" customFormat="false" ht="15" hidden="false" customHeight="false" outlineLevel="0" collapsed="false">
      <c r="A19" s="14" t="s">
        <v>3</v>
      </c>
      <c r="B19" s="14" t="n">
        <v>85930</v>
      </c>
      <c r="C19" s="18" t="s">
        <v>79</v>
      </c>
      <c r="D19" s="14" t="s">
        <v>27</v>
      </c>
      <c r="E19" s="14" t="s">
        <v>65</v>
      </c>
      <c r="F19" s="16" t="s">
        <v>70</v>
      </c>
      <c r="G19" s="16" t="s">
        <v>63</v>
      </c>
      <c r="H19" s="20" t="s">
        <v>9</v>
      </c>
      <c r="I19" s="14" t="s">
        <v>31</v>
      </c>
      <c r="J19" s="15" t="s">
        <v>71</v>
      </c>
    </row>
    <row r="20" customFormat="false" ht="15" hidden="false" customHeight="false" outlineLevel="0" collapsed="false">
      <c r="A20" s="14" t="s">
        <v>3</v>
      </c>
      <c r="B20" s="14" t="n">
        <v>85930</v>
      </c>
      <c r="C20" s="18" t="s">
        <v>80</v>
      </c>
      <c r="D20" s="14" t="s">
        <v>27</v>
      </c>
      <c r="E20" s="14" t="s">
        <v>65</v>
      </c>
      <c r="F20" s="16" t="s">
        <v>70</v>
      </c>
      <c r="G20" s="16" t="s">
        <v>81</v>
      </c>
      <c r="H20" s="20" t="s">
        <v>9</v>
      </c>
      <c r="I20" s="14" t="s">
        <v>31</v>
      </c>
      <c r="J20" s="15" t="s">
        <v>71</v>
      </c>
    </row>
    <row r="21" customFormat="false" ht="15" hidden="false" customHeight="false" outlineLevel="0" collapsed="false">
      <c r="A21" s="14" t="s">
        <v>3</v>
      </c>
      <c r="B21" s="14" t="n">
        <v>85930</v>
      </c>
      <c r="C21" s="18" t="s">
        <v>82</v>
      </c>
      <c r="D21" s="14" t="s">
        <v>27</v>
      </c>
      <c r="E21" s="14" t="s">
        <v>65</v>
      </c>
      <c r="F21" s="16" t="s">
        <v>70</v>
      </c>
      <c r="G21" s="16" t="s">
        <v>83</v>
      </c>
      <c r="H21" s="20" t="s">
        <v>9</v>
      </c>
      <c r="I21" s="14" t="s">
        <v>31</v>
      </c>
      <c r="J21" s="15" t="s">
        <v>71</v>
      </c>
    </row>
    <row r="22" customFormat="false" ht="15" hidden="false" customHeight="false" outlineLevel="0" collapsed="false">
      <c r="A22" s="14" t="s">
        <v>3</v>
      </c>
      <c r="B22" s="14" t="n">
        <v>85426</v>
      </c>
      <c r="C22" s="15" t="s">
        <v>84</v>
      </c>
      <c r="D22" s="14" t="s">
        <v>27</v>
      </c>
      <c r="E22" s="14" t="s">
        <v>65</v>
      </c>
      <c r="F22" s="16" t="s">
        <v>77</v>
      </c>
      <c r="G22" s="16" t="s">
        <v>83</v>
      </c>
      <c r="H22" s="20" t="s">
        <v>9</v>
      </c>
      <c r="I22" s="14" t="s">
        <v>31</v>
      </c>
      <c r="J22" s="15" t="s">
        <v>71</v>
      </c>
    </row>
    <row r="23" customFormat="false" ht="15" hidden="false" customHeight="false" outlineLevel="0" collapsed="false">
      <c r="A23" s="14" t="s">
        <v>3</v>
      </c>
      <c r="B23" s="14" t="n">
        <v>85753</v>
      </c>
      <c r="C23" s="18" t="s">
        <v>85</v>
      </c>
      <c r="D23" s="14" t="s">
        <v>27</v>
      </c>
      <c r="E23" s="14" t="s">
        <v>65</v>
      </c>
      <c r="F23" s="16" t="s">
        <v>86</v>
      </c>
      <c r="G23" s="16" t="s">
        <v>83</v>
      </c>
      <c r="H23" s="20" t="s">
        <v>9</v>
      </c>
      <c r="I23" s="14" t="s">
        <v>31</v>
      </c>
      <c r="J23" s="15" t="s">
        <v>71</v>
      </c>
    </row>
    <row r="24" customFormat="false" ht="15" hidden="false" customHeight="false" outlineLevel="0" collapsed="false">
      <c r="A24" s="14" t="s">
        <v>3</v>
      </c>
      <c r="B24" s="14" t="n">
        <v>85919</v>
      </c>
      <c r="C24" s="18" t="s">
        <v>87</v>
      </c>
      <c r="D24" s="14" t="s">
        <v>27</v>
      </c>
      <c r="E24" s="14" t="s">
        <v>65</v>
      </c>
      <c r="F24" s="16" t="s">
        <v>88</v>
      </c>
      <c r="G24" s="16" t="s">
        <v>83</v>
      </c>
      <c r="H24" s="20" t="s">
        <v>9</v>
      </c>
      <c r="I24" s="14" t="s">
        <v>31</v>
      </c>
      <c r="J24" s="15" t="s">
        <v>71</v>
      </c>
    </row>
  </sheetData>
  <autoFilter ref="A1:J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7"/>
    <col collapsed="false" customWidth="true" hidden="false" outlineLevel="0" max="9" min="9" style="0" width="9"/>
    <col collapsed="false" customWidth="true" hidden="false" outlineLevel="0" max="10" min="10" style="0" width="45"/>
  </cols>
  <sheetData>
    <row r="1" customFormat="false" ht="15" hidden="false" customHeight="false" outlineLevel="0" collapsed="false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3" t="s">
        <v>21</v>
      </c>
      <c r="G1" s="12" t="s">
        <v>22</v>
      </c>
      <c r="H1" s="12" t="s">
        <v>23</v>
      </c>
      <c r="I1" s="12" t="s">
        <v>24</v>
      </c>
      <c r="J1" s="12" t="s">
        <v>25</v>
      </c>
    </row>
    <row r="2" customFormat="false" ht="15" hidden="false" customHeight="false" outlineLevel="0" collapsed="false">
      <c r="A2" s="14" t="s">
        <v>4</v>
      </c>
      <c r="B2" s="14" t="n">
        <v>83682</v>
      </c>
      <c r="C2" s="18" t="s">
        <v>89</v>
      </c>
      <c r="D2" s="14" t="s">
        <v>27</v>
      </c>
      <c r="E2" s="14" t="s">
        <v>90</v>
      </c>
      <c r="F2" s="16" t="s">
        <v>91</v>
      </c>
      <c r="G2" s="16" t="s">
        <v>92</v>
      </c>
      <c r="H2" s="17" t="s">
        <v>6</v>
      </c>
      <c r="I2" s="21" t="s">
        <v>49</v>
      </c>
      <c r="J2" s="15" t="s">
        <v>93</v>
      </c>
    </row>
    <row r="3" customFormat="false" ht="15" hidden="false" customHeight="false" outlineLevel="0" collapsed="false">
      <c r="A3" s="14" t="s">
        <v>4</v>
      </c>
      <c r="B3" s="14" t="n">
        <v>83683</v>
      </c>
      <c r="C3" s="18" t="s">
        <v>94</v>
      </c>
      <c r="D3" s="14" t="s">
        <v>27</v>
      </c>
      <c r="E3" s="14" t="s">
        <v>90</v>
      </c>
      <c r="F3" s="16" t="s">
        <v>91</v>
      </c>
      <c r="G3" s="16" t="s">
        <v>92</v>
      </c>
      <c r="H3" s="17" t="s">
        <v>6</v>
      </c>
      <c r="I3" s="21" t="s">
        <v>49</v>
      </c>
      <c r="J3" s="15" t="s">
        <v>93</v>
      </c>
    </row>
    <row r="4" customFormat="false" ht="15" hidden="false" customHeight="false" outlineLevel="0" collapsed="false">
      <c r="A4" s="14" t="s">
        <v>4</v>
      </c>
      <c r="B4" s="14" t="n">
        <v>83684</v>
      </c>
      <c r="C4" s="18" t="s">
        <v>95</v>
      </c>
      <c r="D4" s="14" t="s">
        <v>27</v>
      </c>
      <c r="E4" s="14" t="s">
        <v>90</v>
      </c>
      <c r="F4" s="16" t="s">
        <v>91</v>
      </c>
      <c r="G4" s="16" t="s">
        <v>92</v>
      </c>
      <c r="H4" s="17" t="s">
        <v>6</v>
      </c>
      <c r="I4" s="21" t="s">
        <v>49</v>
      </c>
      <c r="J4" s="15" t="s">
        <v>93</v>
      </c>
    </row>
    <row r="5" customFormat="false" ht="15" hidden="false" customHeight="false" outlineLevel="0" collapsed="false">
      <c r="A5" s="14" t="s">
        <v>4</v>
      </c>
      <c r="B5" s="14" t="n">
        <v>83685</v>
      </c>
      <c r="C5" s="18" t="s">
        <v>96</v>
      </c>
      <c r="D5" s="14" t="s">
        <v>27</v>
      </c>
      <c r="E5" s="14" t="s">
        <v>90</v>
      </c>
      <c r="F5" s="16" t="s">
        <v>91</v>
      </c>
      <c r="G5" s="16" t="s">
        <v>97</v>
      </c>
      <c r="H5" s="17" t="s">
        <v>6</v>
      </c>
      <c r="I5" s="21" t="s">
        <v>49</v>
      </c>
      <c r="J5" s="15" t="s">
        <v>93</v>
      </c>
    </row>
    <row r="6" customFormat="false" ht="15" hidden="false" customHeight="false" outlineLevel="0" collapsed="false">
      <c r="A6" s="14" t="s">
        <v>4</v>
      </c>
      <c r="B6" s="14" t="n">
        <v>84005</v>
      </c>
      <c r="C6" s="18" t="s">
        <v>89</v>
      </c>
      <c r="D6" s="14" t="s">
        <v>27</v>
      </c>
      <c r="E6" s="14" t="s">
        <v>90</v>
      </c>
      <c r="F6" s="16" t="s">
        <v>98</v>
      </c>
      <c r="G6" s="16" t="s">
        <v>99</v>
      </c>
      <c r="H6" s="17" t="s">
        <v>6</v>
      </c>
      <c r="I6" s="21" t="s">
        <v>49</v>
      </c>
      <c r="J6" s="15" t="s">
        <v>93</v>
      </c>
    </row>
    <row r="7" customFormat="false" ht="29.85" hidden="false" customHeight="false" outlineLevel="0" collapsed="false">
      <c r="A7" s="14" t="s">
        <v>4</v>
      </c>
      <c r="B7" s="14" t="n">
        <v>84102</v>
      </c>
      <c r="C7" s="18" t="s">
        <v>100</v>
      </c>
      <c r="D7" s="14" t="s">
        <v>101</v>
      </c>
      <c r="E7" s="14" t="s">
        <v>102</v>
      </c>
      <c r="F7" s="16" t="s">
        <v>103</v>
      </c>
      <c r="G7" s="16" t="s">
        <v>103</v>
      </c>
      <c r="H7" s="17" t="s">
        <v>6</v>
      </c>
      <c r="I7" s="21" t="s">
        <v>49</v>
      </c>
      <c r="J7" s="15" t="s">
        <v>104</v>
      </c>
    </row>
    <row r="8" customFormat="false" ht="29.85" hidden="false" customHeight="false" outlineLevel="0" collapsed="false">
      <c r="A8" s="14" t="s">
        <v>4</v>
      </c>
      <c r="B8" s="14" t="n">
        <v>84119</v>
      </c>
      <c r="C8" s="18" t="s">
        <v>105</v>
      </c>
      <c r="D8" s="14" t="s">
        <v>39</v>
      </c>
      <c r="E8" s="16" t="s">
        <v>35</v>
      </c>
      <c r="F8" s="16" t="s">
        <v>106</v>
      </c>
      <c r="G8" s="16" t="s">
        <v>106</v>
      </c>
      <c r="H8" s="17" t="s">
        <v>6</v>
      </c>
      <c r="I8" s="21" t="s">
        <v>49</v>
      </c>
      <c r="J8" s="15" t="s">
        <v>104</v>
      </c>
    </row>
    <row r="9" customFormat="false" ht="29.85" hidden="false" customHeight="false" outlineLevel="0" collapsed="false">
      <c r="A9" s="14" t="s">
        <v>4</v>
      </c>
      <c r="B9" s="14" t="n">
        <v>86288</v>
      </c>
      <c r="C9" s="18" t="s">
        <v>107</v>
      </c>
      <c r="D9" s="16" t="s">
        <v>34</v>
      </c>
      <c r="E9" s="16" t="s">
        <v>35</v>
      </c>
      <c r="F9" s="16" t="s">
        <v>59</v>
      </c>
      <c r="G9" s="16" t="s">
        <v>59</v>
      </c>
      <c r="H9" s="17" t="s">
        <v>6</v>
      </c>
      <c r="I9" s="21" t="s">
        <v>49</v>
      </c>
      <c r="J9" s="15" t="s">
        <v>104</v>
      </c>
    </row>
    <row r="10" customFormat="false" ht="29.85" hidden="false" customHeight="false" outlineLevel="0" collapsed="false">
      <c r="A10" s="14" t="s">
        <v>4</v>
      </c>
      <c r="B10" s="14" t="n">
        <v>82973</v>
      </c>
      <c r="C10" s="18" t="s">
        <v>108</v>
      </c>
      <c r="D10" s="14" t="s">
        <v>101</v>
      </c>
      <c r="E10" s="14" t="s">
        <v>109</v>
      </c>
      <c r="F10" s="16" t="s">
        <v>110</v>
      </c>
      <c r="G10" s="16" t="s">
        <v>111</v>
      </c>
      <c r="H10" s="17" t="s">
        <v>6</v>
      </c>
      <c r="I10" s="14" t="s">
        <v>31</v>
      </c>
      <c r="J10" s="15" t="s">
        <v>112</v>
      </c>
    </row>
    <row r="11" customFormat="false" ht="29.85" hidden="false" customHeight="false" outlineLevel="0" collapsed="false">
      <c r="A11" s="14" t="s">
        <v>4</v>
      </c>
      <c r="B11" s="14" t="n">
        <v>83405</v>
      </c>
      <c r="C11" s="15" t="s">
        <v>113</v>
      </c>
      <c r="D11" s="14" t="s">
        <v>27</v>
      </c>
      <c r="E11" s="14" t="s">
        <v>28</v>
      </c>
      <c r="F11" s="16" t="s">
        <v>114</v>
      </c>
      <c r="G11" s="16" t="s">
        <v>114</v>
      </c>
      <c r="H11" s="17" t="s">
        <v>6</v>
      </c>
      <c r="I11" s="14" t="s">
        <v>31</v>
      </c>
      <c r="J11" s="15" t="s">
        <v>115</v>
      </c>
    </row>
    <row r="12" customFormat="false" ht="15" hidden="false" customHeight="false" outlineLevel="0" collapsed="false">
      <c r="A12" s="14" t="s">
        <v>4</v>
      </c>
      <c r="B12" s="14" t="n">
        <v>83433</v>
      </c>
      <c r="C12" s="15" t="s">
        <v>116</v>
      </c>
      <c r="D12" s="14" t="s">
        <v>39</v>
      </c>
      <c r="E12" s="14" t="s">
        <v>28</v>
      </c>
      <c r="F12" s="16" t="s">
        <v>117</v>
      </c>
      <c r="G12" s="16" t="s">
        <v>118</v>
      </c>
      <c r="H12" s="17" t="s">
        <v>6</v>
      </c>
      <c r="I12" s="14" t="s">
        <v>31</v>
      </c>
      <c r="J12" s="15" t="s">
        <v>119</v>
      </c>
    </row>
    <row r="13" customFormat="false" ht="29.85" hidden="false" customHeight="false" outlineLevel="0" collapsed="false">
      <c r="A13" s="14" t="s">
        <v>4</v>
      </c>
      <c r="B13" s="14" t="n">
        <v>83470</v>
      </c>
      <c r="C13" s="15" t="s">
        <v>120</v>
      </c>
      <c r="D13" s="16" t="s">
        <v>34</v>
      </c>
      <c r="E13" s="16" t="s">
        <v>35</v>
      </c>
      <c r="F13" s="16" t="s">
        <v>121</v>
      </c>
      <c r="G13" s="16" t="s">
        <v>118</v>
      </c>
      <c r="H13" s="17" t="s">
        <v>6</v>
      </c>
      <c r="I13" s="14" t="s">
        <v>31</v>
      </c>
      <c r="J13" s="15" t="s">
        <v>112</v>
      </c>
    </row>
    <row r="14" customFormat="false" ht="29.85" hidden="false" customHeight="false" outlineLevel="0" collapsed="false">
      <c r="A14" s="14" t="s">
        <v>4</v>
      </c>
      <c r="B14" s="14"/>
      <c r="C14" s="15" t="s">
        <v>122</v>
      </c>
      <c r="D14" s="14" t="s">
        <v>27</v>
      </c>
      <c r="E14" s="14" t="s">
        <v>28</v>
      </c>
      <c r="F14" s="14"/>
      <c r="G14" s="16" t="s">
        <v>123</v>
      </c>
      <c r="H14" s="17" t="s">
        <v>6</v>
      </c>
      <c r="I14" s="14" t="s">
        <v>31</v>
      </c>
      <c r="J14" s="15" t="s">
        <v>112</v>
      </c>
    </row>
    <row r="15" customFormat="false" ht="15" hidden="false" customHeight="false" outlineLevel="0" collapsed="false">
      <c r="A15" s="14" t="s">
        <v>4</v>
      </c>
      <c r="B15" s="14" t="n">
        <v>83883</v>
      </c>
      <c r="C15" s="15" t="s">
        <v>124</v>
      </c>
      <c r="D15" s="16" t="s">
        <v>34</v>
      </c>
      <c r="E15" s="16" t="s">
        <v>35</v>
      </c>
      <c r="F15" s="16" t="s">
        <v>125</v>
      </c>
      <c r="G15" s="16" t="s">
        <v>97</v>
      </c>
      <c r="H15" s="17" t="s">
        <v>6</v>
      </c>
      <c r="I15" s="14" t="s">
        <v>31</v>
      </c>
      <c r="J15" s="15" t="s">
        <v>119</v>
      </c>
    </row>
    <row r="16" customFormat="false" ht="29.85" hidden="false" customHeight="false" outlineLevel="0" collapsed="false">
      <c r="A16" s="14" t="s">
        <v>4</v>
      </c>
      <c r="B16" s="14" t="n">
        <v>84448</v>
      </c>
      <c r="C16" s="15" t="s">
        <v>126</v>
      </c>
      <c r="D16" s="14" t="s">
        <v>39</v>
      </c>
      <c r="E16" s="14" t="s">
        <v>28</v>
      </c>
      <c r="F16" s="16" t="s">
        <v>127</v>
      </c>
      <c r="G16" s="16" t="s">
        <v>128</v>
      </c>
      <c r="H16" s="17" t="s">
        <v>6</v>
      </c>
      <c r="I16" s="14" t="s">
        <v>31</v>
      </c>
      <c r="J16" s="15" t="s">
        <v>112</v>
      </c>
    </row>
    <row r="17" customFormat="false" ht="29.85" hidden="false" customHeight="false" outlineLevel="0" collapsed="false">
      <c r="A17" s="14" t="s">
        <v>4</v>
      </c>
      <c r="B17" s="14"/>
      <c r="C17" s="18" t="s">
        <v>129</v>
      </c>
      <c r="D17" s="14" t="s">
        <v>27</v>
      </c>
      <c r="E17" s="14" t="s">
        <v>28</v>
      </c>
      <c r="F17" s="16" t="s">
        <v>130</v>
      </c>
      <c r="G17" s="16" t="s">
        <v>131</v>
      </c>
      <c r="H17" s="17" t="s">
        <v>6</v>
      </c>
      <c r="I17" s="14" t="s">
        <v>31</v>
      </c>
      <c r="J17" s="15" t="s">
        <v>112</v>
      </c>
    </row>
    <row r="18" customFormat="false" ht="29.85" hidden="false" customHeight="false" outlineLevel="0" collapsed="false">
      <c r="A18" s="14" t="s">
        <v>4</v>
      </c>
      <c r="B18" s="14"/>
      <c r="C18" s="15" t="s">
        <v>132</v>
      </c>
      <c r="D18" s="14" t="s">
        <v>39</v>
      </c>
      <c r="E18" s="14" t="s">
        <v>28</v>
      </c>
      <c r="F18" s="16" t="s">
        <v>133</v>
      </c>
      <c r="G18" s="16" t="s">
        <v>134</v>
      </c>
      <c r="H18" s="17" t="s">
        <v>6</v>
      </c>
      <c r="I18" s="14" t="s">
        <v>31</v>
      </c>
      <c r="J18" s="15" t="s">
        <v>112</v>
      </c>
    </row>
    <row r="19" customFormat="false" ht="29.85" hidden="false" customHeight="false" outlineLevel="0" collapsed="false">
      <c r="A19" s="14" t="s">
        <v>4</v>
      </c>
      <c r="B19" s="14" t="n">
        <v>85076</v>
      </c>
      <c r="C19" s="15" t="s">
        <v>135</v>
      </c>
      <c r="D19" s="14" t="s">
        <v>39</v>
      </c>
      <c r="E19" s="14" t="s">
        <v>40</v>
      </c>
      <c r="F19" s="16" t="s">
        <v>136</v>
      </c>
      <c r="G19" s="16" t="s">
        <v>136</v>
      </c>
      <c r="H19" s="17" t="s">
        <v>6</v>
      </c>
      <c r="I19" s="14" t="s">
        <v>31</v>
      </c>
      <c r="J19" s="15" t="s">
        <v>115</v>
      </c>
    </row>
    <row r="20" customFormat="false" ht="15" hidden="false" customHeight="false" outlineLevel="0" collapsed="false">
      <c r="A20" s="14" t="s">
        <v>4</v>
      </c>
      <c r="B20" s="14" t="n">
        <v>85818</v>
      </c>
      <c r="C20" s="15" t="s">
        <v>137</v>
      </c>
      <c r="D20" s="14" t="s">
        <v>39</v>
      </c>
      <c r="E20" s="14" t="s">
        <v>28</v>
      </c>
      <c r="F20" s="16" t="s">
        <v>73</v>
      </c>
      <c r="G20" s="16" t="s">
        <v>138</v>
      </c>
      <c r="H20" s="17" t="s">
        <v>6</v>
      </c>
      <c r="I20" s="14" t="s">
        <v>31</v>
      </c>
      <c r="J20" s="15" t="s">
        <v>139</v>
      </c>
    </row>
    <row r="21" customFormat="false" ht="29.85" hidden="false" customHeight="false" outlineLevel="0" collapsed="false">
      <c r="A21" s="14" t="s">
        <v>4</v>
      </c>
      <c r="B21" s="14" t="n">
        <v>86033</v>
      </c>
      <c r="C21" s="15" t="s">
        <v>140</v>
      </c>
      <c r="D21" s="14" t="s">
        <v>27</v>
      </c>
      <c r="E21" s="16" t="s">
        <v>35</v>
      </c>
      <c r="F21" s="16" t="s">
        <v>141</v>
      </c>
      <c r="G21" s="16" t="s">
        <v>141</v>
      </c>
      <c r="H21" s="17" t="s">
        <v>6</v>
      </c>
      <c r="I21" s="14" t="s">
        <v>31</v>
      </c>
      <c r="J21" s="15" t="s">
        <v>115</v>
      </c>
    </row>
    <row r="22" customFormat="false" ht="15" hidden="false" customHeight="false" outlineLevel="0" collapsed="false">
      <c r="A22" s="14" t="s">
        <v>4</v>
      </c>
      <c r="B22" s="14" t="n">
        <v>86245</v>
      </c>
      <c r="C22" s="15" t="s">
        <v>142</v>
      </c>
      <c r="D22" s="16" t="s">
        <v>34</v>
      </c>
      <c r="E22" s="16" t="s">
        <v>35</v>
      </c>
      <c r="F22" s="16" t="s">
        <v>143</v>
      </c>
      <c r="G22" s="16" t="s">
        <v>59</v>
      </c>
      <c r="H22" s="17" t="s">
        <v>6</v>
      </c>
      <c r="I22" s="14" t="s">
        <v>31</v>
      </c>
      <c r="J22" s="15" t="s">
        <v>139</v>
      </c>
    </row>
    <row r="23" customFormat="false" ht="15" hidden="false" customHeight="false" outlineLevel="0" collapsed="false">
      <c r="A23" s="14" t="s">
        <v>4</v>
      </c>
      <c r="B23" s="14" t="n">
        <v>86440</v>
      </c>
      <c r="C23" s="18" t="s">
        <v>144</v>
      </c>
      <c r="D23" s="16" t="s">
        <v>34</v>
      </c>
      <c r="E23" s="16" t="s">
        <v>35</v>
      </c>
      <c r="F23" s="16" t="s">
        <v>145</v>
      </c>
      <c r="G23" s="16" t="s">
        <v>146</v>
      </c>
      <c r="H23" s="17" t="s">
        <v>6</v>
      </c>
      <c r="I23" s="14" t="s">
        <v>31</v>
      </c>
      <c r="J23" s="15" t="s">
        <v>139</v>
      </c>
    </row>
    <row r="24" customFormat="false" ht="29.85" hidden="false" customHeight="false" outlineLevel="0" collapsed="false">
      <c r="A24" s="14" t="s">
        <v>4</v>
      </c>
      <c r="B24" s="14" t="n">
        <v>86641</v>
      </c>
      <c r="C24" s="15" t="s">
        <v>147</v>
      </c>
      <c r="D24" s="14" t="s">
        <v>27</v>
      </c>
      <c r="E24" s="14" t="s">
        <v>28</v>
      </c>
      <c r="F24" s="16" t="s">
        <v>148</v>
      </c>
      <c r="G24" s="16" t="s">
        <v>148</v>
      </c>
      <c r="H24" s="17" t="s">
        <v>6</v>
      </c>
      <c r="I24" s="14" t="s">
        <v>31</v>
      </c>
      <c r="J24" s="15" t="s">
        <v>115</v>
      </c>
    </row>
    <row r="25" customFormat="false" ht="29.85" hidden="false" customHeight="false" outlineLevel="0" collapsed="false">
      <c r="A25" s="14" t="s">
        <v>4</v>
      </c>
      <c r="B25" s="14" t="n">
        <v>86807</v>
      </c>
      <c r="C25" s="18" t="s">
        <v>149</v>
      </c>
      <c r="D25" s="16" t="s">
        <v>34</v>
      </c>
      <c r="E25" s="16" t="s">
        <v>35</v>
      </c>
      <c r="F25" s="16" t="s">
        <v>41</v>
      </c>
      <c r="G25" s="16" t="s">
        <v>41</v>
      </c>
      <c r="H25" s="17" t="s">
        <v>6</v>
      </c>
      <c r="I25" s="14" t="s">
        <v>31</v>
      </c>
      <c r="J25" s="15" t="s">
        <v>115</v>
      </c>
    </row>
    <row r="26" customFormat="false" ht="15" hidden="false" customHeight="false" outlineLevel="0" collapsed="false">
      <c r="A26" s="14" t="s">
        <v>4</v>
      </c>
      <c r="B26" s="14" t="n">
        <v>86769</v>
      </c>
      <c r="C26" s="18" t="s">
        <v>150</v>
      </c>
      <c r="D26" s="14" t="s">
        <v>39</v>
      </c>
      <c r="E26" s="14" t="s">
        <v>28</v>
      </c>
      <c r="F26" s="16" t="s">
        <v>62</v>
      </c>
      <c r="G26" s="16" t="s">
        <v>29</v>
      </c>
      <c r="H26" s="17" t="s">
        <v>6</v>
      </c>
      <c r="I26" s="14" t="s">
        <v>31</v>
      </c>
      <c r="J26" s="15" t="s">
        <v>139</v>
      </c>
    </row>
    <row r="27" customFormat="false" ht="15" hidden="false" customHeight="false" outlineLevel="0" collapsed="false">
      <c r="A27" s="14" t="s">
        <v>4</v>
      </c>
      <c r="B27" s="14" t="n">
        <v>82880</v>
      </c>
      <c r="C27" s="18" t="s">
        <v>151</v>
      </c>
      <c r="D27" s="14" t="s">
        <v>101</v>
      </c>
      <c r="E27" s="16" t="s">
        <v>35</v>
      </c>
      <c r="F27" s="16" t="s">
        <v>152</v>
      </c>
      <c r="G27" s="16" t="s">
        <v>152</v>
      </c>
      <c r="H27" s="22" t="s">
        <v>7</v>
      </c>
      <c r="I27" s="21" t="s">
        <v>49</v>
      </c>
      <c r="J27" s="15" t="s">
        <v>153</v>
      </c>
    </row>
    <row r="28" customFormat="false" ht="29.85" hidden="false" customHeight="false" outlineLevel="0" collapsed="false">
      <c r="A28" s="14" t="s">
        <v>4</v>
      </c>
      <c r="B28" s="14" t="n">
        <v>82874</v>
      </c>
      <c r="C28" s="18" t="s">
        <v>154</v>
      </c>
      <c r="D28" s="14" t="s">
        <v>101</v>
      </c>
      <c r="E28" s="16" t="s">
        <v>35</v>
      </c>
      <c r="F28" s="16" t="s">
        <v>152</v>
      </c>
      <c r="G28" s="16" t="s">
        <v>152</v>
      </c>
      <c r="H28" s="22" t="s">
        <v>7</v>
      </c>
      <c r="I28" s="21" t="s">
        <v>49</v>
      </c>
      <c r="J28" s="15" t="s">
        <v>155</v>
      </c>
    </row>
    <row r="29" customFormat="false" ht="15" hidden="false" customHeight="false" outlineLevel="0" collapsed="false">
      <c r="A29" s="14" t="s">
        <v>4</v>
      </c>
      <c r="B29" s="14" t="n">
        <v>83173</v>
      </c>
      <c r="C29" s="18" t="s">
        <v>156</v>
      </c>
      <c r="D29" s="14" t="s">
        <v>101</v>
      </c>
      <c r="E29" s="16" t="s">
        <v>35</v>
      </c>
      <c r="F29" s="16" t="s">
        <v>157</v>
      </c>
      <c r="G29" s="16" t="s">
        <v>158</v>
      </c>
      <c r="H29" s="22" t="s">
        <v>7</v>
      </c>
      <c r="I29" s="21" t="s">
        <v>49</v>
      </c>
      <c r="J29" s="15" t="s">
        <v>153</v>
      </c>
    </row>
    <row r="30" customFormat="false" ht="15" hidden="false" customHeight="false" outlineLevel="0" collapsed="false">
      <c r="A30" s="14" t="s">
        <v>4</v>
      </c>
      <c r="B30" s="14" t="n">
        <v>83124</v>
      </c>
      <c r="C30" s="18" t="s">
        <v>159</v>
      </c>
      <c r="D30" s="14" t="s">
        <v>39</v>
      </c>
      <c r="E30" s="14" t="s">
        <v>160</v>
      </c>
      <c r="F30" s="16" t="s">
        <v>161</v>
      </c>
      <c r="G30" s="16" t="s">
        <v>162</v>
      </c>
      <c r="H30" s="22" t="s">
        <v>7</v>
      </c>
      <c r="I30" s="21" t="s">
        <v>49</v>
      </c>
      <c r="J30" s="15" t="s">
        <v>153</v>
      </c>
    </row>
    <row r="31" customFormat="false" ht="29.85" hidden="false" customHeight="false" outlineLevel="0" collapsed="false">
      <c r="A31" s="14" t="s">
        <v>4</v>
      </c>
      <c r="B31" s="14" t="n">
        <v>84940</v>
      </c>
      <c r="C31" s="18" t="s">
        <v>154</v>
      </c>
      <c r="D31" s="14" t="s">
        <v>101</v>
      </c>
      <c r="E31" s="16" t="s">
        <v>35</v>
      </c>
      <c r="F31" s="16" t="s">
        <v>163</v>
      </c>
      <c r="G31" s="16" t="s">
        <v>163</v>
      </c>
      <c r="H31" s="22" t="s">
        <v>7</v>
      </c>
      <c r="I31" s="21" t="s">
        <v>49</v>
      </c>
      <c r="J31" s="15" t="s">
        <v>155</v>
      </c>
    </row>
    <row r="32" customFormat="false" ht="15" hidden="false" customHeight="false" outlineLevel="0" collapsed="false">
      <c r="A32" s="14" t="s">
        <v>4</v>
      </c>
      <c r="B32" s="14" t="n">
        <v>86046</v>
      </c>
      <c r="C32" s="18" t="s">
        <v>164</v>
      </c>
      <c r="D32" s="14" t="s">
        <v>39</v>
      </c>
      <c r="E32" s="16" t="s">
        <v>35</v>
      </c>
      <c r="F32" s="16" t="s">
        <v>141</v>
      </c>
      <c r="G32" s="16" t="s">
        <v>67</v>
      </c>
      <c r="H32" s="22" t="s">
        <v>7</v>
      </c>
      <c r="I32" s="21" t="s">
        <v>49</v>
      </c>
      <c r="J32" s="15" t="s">
        <v>153</v>
      </c>
    </row>
    <row r="33" customFormat="false" ht="15" hidden="false" customHeight="false" outlineLevel="0" collapsed="false">
      <c r="A33" s="14" t="s">
        <v>4</v>
      </c>
      <c r="B33" s="14" t="n">
        <v>86734</v>
      </c>
      <c r="C33" s="18" t="s">
        <v>165</v>
      </c>
      <c r="D33" s="14" t="s">
        <v>166</v>
      </c>
      <c r="E33" s="14" t="s">
        <v>55</v>
      </c>
      <c r="F33" s="16" t="s">
        <v>167</v>
      </c>
      <c r="G33" s="16" t="s">
        <v>168</v>
      </c>
      <c r="H33" s="22" t="s">
        <v>7</v>
      </c>
      <c r="I33" s="21" t="s">
        <v>49</v>
      </c>
      <c r="J33" s="15" t="s">
        <v>153</v>
      </c>
    </row>
    <row r="34" customFormat="false" ht="15" hidden="false" customHeight="false" outlineLevel="0" collapsed="false">
      <c r="A34" s="14" t="s">
        <v>4</v>
      </c>
      <c r="B34" s="14" t="n">
        <v>83443</v>
      </c>
      <c r="C34" s="15" t="s">
        <v>169</v>
      </c>
      <c r="D34" s="14" t="s">
        <v>101</v>
      </c>
      <c r="E34" s="16" t="s">
        <v>35</v>
      </c>
      <c r="F34" s="16" t="s">
        <v>117</v>
      </c>
      <c r="G34" s="16" t="s">
        <v>121</v>
      </c>
      <c r="H34" s="22" t="s">
        <v>7</v>
      </c>
      <c r="I34" s="14" t="s">
        <v>31</v>
      </c>
      <c r="J34" s="15" t="s">
        <v>46</v>
      </c>
    </row>
    <row r="35" customFormat="false" ht="15" hidden="false" customHeight="false" outlineLevel="0" collapsed="false">
      <c r="A35" s="14" t="s">
        <v>4</v>
      </c>
      <c r="B35" s="14" t="n">
        <v>83604</v>
      </c>
      <c r="C35" s="18" t="s">
        <v>170</v>
      </c>
      <c r="D35" s="14" t="s">
        <v>101</v>
      </c>
      <c r="E35" s="14" t="s">
        <v>109</v>
      </c>
      <c r="F35" s="16" t="s">
        <v>123</v>
      </c>
      <c r="G35" s="16" t="s">
        <v>171</v>
      </c>
      <c r="H35" s="22" t="s">
        <v>7</v>
      </c>
      <c r="I35" s="14" t="s">
        <v>31</v>
      </c>
      <c r="J35" s="15" t="s">
        <v>46</v>
      </c>
    </row>
    <row r="36" customFormat="false" ht="15" hidden="false" customHeight="false" outlineLevel="0" collapsed="false">
      <c r="A36" s="14" t="s">
        <v>4</v>
      </c>
      <c r="B36" s="14" t="n">
        <v>84038</v>
      </c>
      <c r="C36" s="15" t="s">
        <v>172</v>
      </c>
      <c r="D36" s="14" t="s">
        <v>101</v>
      </c>
      <c r="E36" s="16" t="s">
        <v>35</v>
      </c>
      <c r="F36" s="16" t="s">
        <v>173</v>
      </c>
      <c r="G36" s="16" t="s">
        <v>173</v>
      </c>
      <c r="H36" s="22" t="s">
        <v>7</v>
      </c>
      <c r="I36" s="14" t="s">
        <v>31</v>
      </c>
      <c r="J36" s="15" t="s">
        <v>174</v>
      </c>
    </row>
    <row r="37" customFormat="false" ht="15" hidden="false" customHeight="false" outlineLevel="0" collapsed="false">
      <c r="A37" s="14" t="s">
        <v>4</v>
      </c>
      <c r="B37" s="14" t="n">
        <v>84475</v>
      </c>
      <c r="C37" s="18" t="s">
        <v>175</v>
      </c>
      <c r="D37" s="14" t="s">
        <v>39</v>
      </c>
      <c r="E37" s="14" t="s">
        <v>40</v>
      </c>
      <c r="F37" s="16" t="s">
        <v>128</v>
      </c>
      <c r="G37" s="16" t="s">
        <v>128</v>
      </c>
      <c r="H37" s="22" t="s">
        <v>7</v>
      </c>
      <c r="I37" s="14" t="s">
        <v>31</v>
      </c>
      <c r="J37" s="15" t="s">
        <v>174</v>
      </c>
    </row>
    <row r="38" customFormat="false" ht="15" hidden="false" customHeight="false" outlineLevel="0" collapsed="false">
      <c r="A38" s="14" t="s">
        <v>4</v>
      </c>
      <c r="B38" s="14" t="n">
        <v>84719</v>
      </c>
      <c r="C38" s="18" t="s">
        <v>175</v>
      </c>
      <c r="D38" s="14" t="s">
        <v>39</v>
      </c>
      <c r="E38" s="14" t="s">
        <v>109</v>
      </c>
      <c r="F38" s="16" t="s">
        <v>176</v>
      </c>
      <c r="G38" s="16" t="s">
        <v>177</v>
      </c>
      <c r="H38" s="22" t="s">
        <v>7</v>
      </c>
      <c r="I38" s="14" t="s">
        <v>31</v>
      </c>
      <c r="J38" s="15" t="s">
        <v>46</v>
      </c>
    </row>
    <row r="39" customFormat="false" ht="15" hidden="false" customHeight="false" outlineLevel="0" collapsed="false">
      <c r="A39" s="14" t="s">
        <v>4</v>
      </c>
      <c r="B39" s="14" t="n">
        <v>85035</v>
      </c>
      <c r="C39" s="18" t="s">
        <v>178</v>
      </c>
      <c r="D39" s="14" t="s">
        <v>39</v>
      </c>
      <c r="E39" s="14" t="s">
        <v>109</v>
      </c>
      <c r="F39" s="16" t="s">
        <v>134</v>
      </c>
      <c r="G39" s="16" t="s">
        <v>134</v>
      </c>
      <c r="H39" s="22" t="s">
        <v>7</v>
      </c>
      <c r="I39" s="14" t="s">
        <v>31</v>
      </c>
      <c r="J39" s="15" t="s">
        <v>174</v>
      </c>
    </row>
    <row r="40" customFormat="false" ht="15" hidden="false" customHeight="false" outlineLevel="0" collapsed="false">
      <c r="A40" s="14" t="s">
        <v>4</v>
      </c>
      <c r="B40" s="14" t="n">
        <v>85534</v>
      </c>
      <c r="C40" s="15" t="s">
        <v>179</v>
      </c>
      <c r="D40" s="14" t="s">
        <v>101</v>
      </c>
      <c r="E40" s="16" t="s">
        <v>35</v>
      </c>
      <c r="F40" s="16" t="s">
        <v>180</v>
      </c>
      <c r="G40" s="16" t="s">
        <v>181</v>
      </c>
      <c r="H40" s="22" t="s">
        <v>7</v>
      </c>
      <c r="I40" s="14" t="s">
        <v>31</v>
      </c>
      <c r="J40" s="15" t="s">
        <v>46</v>
      </c>
    </row>
    <row r="41" customFormat="false" ht="15" hidden="false" customHeight="false" outlineLevel="0" collapsed="false">
      <c r="A41" s="14" t="s">
        <v>4</v>
      </c>
      <c r="B41" s="14" t="n">
        <v>86026</v>
      </c>
      <c r="C41" s="15" t="s">
        <v>182</v>
      </c>
      <c r="D41" s="14" t="s">
        <v>101</v>
      </c>
      <c r="E41" s="14" t="s">
        <v>160</v>
      </c>
      <c r="F41" s="16" t="s">
        <v>183</v>
      </c>
      <c r="G41" s="16" t="s">
        <v>141</v>
      </c>
      <c r="H41" s="22" t="s">
        <v>7</v>
      </c>
      <c r="I41" s="14" t="s">
        <v>31</v>
      </c>
      <c r="J41" s="15" t="s">
        <v>46</v>
      </c>
    </row>
    <row r="42" customFormat="false" ht="15" hidden="false" customHeight="false" outlineLevel="0" collapsed="false">
      <c r="A42" s="14" t="s">
        <v>4</v>
      </c>
      <c r="B42" s="14" t="n">
        <v>86375</v>
      </c>
      <c r="C42" s="15" t="s">
        <v>184</v>
      </c>
      <c r="D42" s="14" t="s">
        <v>101</v>
      </c>
      <c r="E42" s="14" t="s">
        <v>55</v>
      </c>
      <c r="F42" s="16" t="s">
        <v>185</v>
      </c>
      <c r="G42" s="16" t="s">
        <v>186</v>
      </c>
      <c r="H42" s="22" t="s">
        <v>7</v>
      </c>
      <c r="I42" s="14" t="s">
        <v>31</v>
      </c>
      <c r="J42" s="15" t="s">
        <v>46</v>
      </c>
    </row>
    <row r="43" customFormat="false" ht="15" hidden="false" customHeight="false" outlineLevel="0" collapsed="false">
      <c r="A43" s="14" t="s">
        <v>4</v>
      </c>
      <c r="B43" s="14" t="n">
        <v>86626</v>
      </c>
      <c r="C43" s="18" t="s">
        <v>187</v>
      </c>
      <c r="D43" s="14" t="s">
        <v>39</v>
      </c>
      <c r="E43" s="14" t="s">
        <v>65</v>
      </c>
      <c r="F43" s="16" t="s">
        <v>188</v>
      </c>
      <c r="G43" s="16" t="s">
        <v>148</v>
      </c>
      <c r="H43" s="22" t="s">
        <v>7</v>
      </c>
      <c r="I43" s="14" t="s">
        <v>31</v>
      </c>
      <c r="J43" s="15" t="s">
        <v>46</v>
      </c>
    </row>
    <row r="44" customFormat="false" ht="15" hidden="false" customHeight="false" outlineLevel="0" collapsed="false">
      <c r="A44" s="14" t="s">
        <v>4</v>
      </c>
      <c r="B44" s="14" t="n">
        <v>82193</v>
      </c>
      <c r="C44" s="15" t="s">
        <v>189</v>
      </c>
      <c r="D44" s="14" t="s">
        <v>27</v>
      </c>
      <c r="E44" s="14" t="s">
        <v>28</v>
      </c>
      <c r="F44" s="16" t="s">
        <v>190</v>
      </c>
      <c r="G44" s="16" t="s">
        <v>191</v>
      </c>
      <c r="H44" s="19" t="s">
        <v>8</v>
      </c>
      <c r="I44" s="14" t="s">
        <v>31</v>
      </c>
      <c r="J44" s="15" t="s">
        <v>46</v>
      </c>
    </row>
    <row r="45" customFormat="false" ht="15" hidden="false" customHeight="false" outlineLevel="0" collapsed="false">
      <c r="A45" s="14" t="s">
        <v>4</v>
      </c>
      <c r="B45" s="14" t="n">
        <v>82971</v>
      </c>
      <c r="C45" s="18" t="s">
        <v>192</v>
      </c>
      <c r="D45" s="14" t="s">
        <v>27</v>
      </c>
      <c r="E45" s="14" t="s">
        <v>109</v>
      </c>
      <c r="F45" s="16" t="s">
        <v>110</v>
      </c>
      <c r="G45" s="16" t="s">
        <v>111</v>
      </c>
      <c r="H45" s="19" t="s">
        <v>8</v>
      </c>
      <c r="I45" s="14" t="s">
        <v>31</v>
      </c>
      <c r="J45" s="15" t="s">
        <v>46</v>
      </c>
    </row>
    <row r="46" customFormat="false" ht="15" hidden="false" customHeight="false" outlineLevel="0" collapsed="false">
      <c r="A46" s="14" t="s">
        <v>4</v>
      </c>
      <c r="B46" s="14" t="n">
        <v>83252</v>
      </c>
      <c r="C46" s="18" t="s">
        <v>175</v>
      </c>
      <c r="D46" s="14" t="s">
        <v>27</v>
      </c>
      <c r="E46" s="14" t="s">
        <v>109</v>
      </c>
      <c r="F46" s="16" t="s">
        <v>162</v>
      </c>
      <c r="G46" s="16" t="s">
        <v>193</v>
      </c>
      <c r="H46" s="19" t="s">
        <v>8</v>
      </c>
      <c r="I46" s="14" t="s">
        <v>31</v>
      </c>
      <c r="J46" s="15" t="s">
        <v>46</v>
      </c>
    </row>
    <row r="47" customFormat="false" ht="15" hidden="false" customHeight="false" outlineLevel="0" collapsed="false">
      <c r="A47" s="14" t="s">
        <v>4</v>
      </c>
      <c r="B47" s="14" t="n">
        <v>83329</v>
      </c>
      <c r="C47" s="18" t="s">
        <v>194</v>
      </c>
      <c r="D47" s="14" t="s">
        <v>166</v>
      </c>
      <c r="E47" s="14" t="s">
        <v>28</v>
      </c>
      <c r="F47" s="16" t="s">
        <v>195</v>
      </c>
      <c r="G47" s="16" t="s">
        <v>196</v>
      </c>
      <c r="H47" s="19" t="s">
        <v>8</v>
      </c>
      <c r="I47" s="14" t="s">
        <v>31</v>
      </c>
      <c r="J47" s="15" t="s">
        <v>46</v>
      </c>
    </row>
    <row r="48" customFormat="false" ht="15" hidden="false" customHeight="false" outlineLevel="0" collapsed="false">
      <c r="A48" s="14" t="s">
        <v>4</v>
      </c>
      <c r="B48" s="14" t="n">
        <v>83720</v>
      </c>
      <c r="C48" s="15" t="s">
        <v>197</v>
      </c>
      <c r="D48" s="14" t="s">
        <v>101</v>
      </c>
      <c r="E48" s="14" t="s">
        <v>28</v>
      </c>
      <c r="F48" s="16" t="s">
        <v>198</v>
      </c>
      <c r="G48" s="16" t="s">
        <v>198</v>
      </c>
      <c r="H48" s="19" t="s">
        <v>8</v>
      </c>
      <c r="I48" s="14" t="s">
        <v>31</v>
      </c>
      <c r="J48" s="15" t="s">
        <v>174</v>
      </c>
    </row>
    <row r="49" customFormat="false" ht="15" hidden="false" customHeight="false" outlineLevel="0" collapsed="false">
      <c r="A49" s="14" t="s">
        <v>4</v>
      </c>
      <c r="B49" s="14" t="n">
        <v>83740</v>
      </c>
      <c r="C49" s="18" t="s">
        <v>199</v>
      </c>
      <c r="D49" s="14" t="s">
        <v>101</v>
      </c>
      <c r="E49" s="14" t="s">
        <v>28</v>
      </c>
      <c r="F49" s="16" t="s">
        <v>200</v>
      </c>
      <c r="G49" s="16" t="s">
        <v>200</v>
      </c>
      <c r="H49" s="19" t="s">
        <v>8</v>
      </c>
      <c r="I49" s="14" t="s">
        <v>31</v>
      </c>
      <c r="J49" s="15" t="s">
        <v>174</v>
      </c>
    </row>
    <row r="50" customFormat="false" ht="15" hidden="false" customHeight="false" outlineLevel="0" collapsed="false">
      <c r="A50" s="14" t="s">
        <v>4</v>
      </c>
      <c r="B50" s="14" t="n">
        <v>83918</v>
      </c>
      <c r="C50" s="18" t="s">
        <v>201</v>
      </c>
      <c r="D50" s="14" t="s">
        <v>27</v>
      </c>
      <c r="E50" s="14" t="s">
        <v>109</v>
      </c>
      <c r="F50" s="16" t="s">
        <v>202</v>
      </c>
      <c r="G50" s="16" t="s">
        <v>97</v>
      </c>
      <c r="H50" s="19" t="s">
        <v>8</v>
      </c>
      <c r="I50" s="14" t="s">
        <v>31</v>
      </c>
      <c r="J50" s="15" t="s">
        <v>46</v>
      </c>
    </row>
    <row r="51" customFormat="false" ht="15" hidden="false" customHeight="false" outlineLevel="0" collapsed="false">
      <c r="A51" s="14" t="s">
        <v>4</v>
      </c>
      <c r="B51" s="14" t="n">
        <v>84053</v>
      </c>
      <c r="C51" s="15" t="s">
        <v>203</v>
      </c>
      <c r="D51" s="14" t="s">
        <v>39</v>
      </c>
      <c r="E51" s="14" t="s">
        <v>28</v>
      </c>
      <c r="F51" s="16" t="s">
        <v>173</v>
      </c>
      <c r="G51" s="16" t="s">
        <v>99</v>
      </c>
      <c r="H51" s="19" t="s">
        <v>8</v>
      </c>
      <c r="I51" s="14" t="s">
        <v>31</v>
      </c>
      <c r="J51" s="15" t="s">
        <v>46</v>
      </c>
    </row>
    <row r="52" customFormat="false" ht="15" hidden="false" customHeight="false" outlineLevel="0" collapsed="false">
      <c r="A52" s="14" t="s">
        <v>4</v>
      </c>
      <c r="B52" s="14" t="n">
        <v>84580</v>
      </c>
      <c r="C52" s="18" t="s">
        <v>175</v>
      </c>
      <c r="D52" s="14" t="s">
        <v>27</v>
      </c>
      <c r="E52" s="14" t="s">
        <v>109</v>
      </c>
      <c r="F52" s="16" t="s">
        <v>130</v>
      </c>
      <c r="G52" s="16" t="s">
        <v>131</v>
      </c>
      <c r="H52" s="19" t="s">
        <v>8</v>
      </c>
      <c r="I52" s="14" t="s">
        <v>31</v>
      </c>
      <c r="J52" s="15" t="s">
        <v>46</v>
      </c>
    </row>
    <row r="53" customFormat="false" ht="15" hidden="false" customHeight="false" outlineLevel="0" collapsed="false">
      <c r="A53" s="14" t="s">
        <v>4</v>
      </c>
      <c r="B53" s="14" t="n">
        <v>84648</v>
      </c>
      <c r="C53" s="15" t="s">
        <v>204</v>
      </c>
      <c r="D53" s="14" t="s">
        <v>27</v>
      </c>
      <c r="E53" s="14" t="s">
        <v>28</v>
      </c>
      <c r="F53" s="16" t="s">
        <v>205</v>
      </c>
      <c r="G53" s="16" t="s">
        <v>205</v>
      </c>
      <c r="H53" s="19" t="s">
        <v>8</v>
      </c>
      <c r="I53" s="14" t="s">
        <v>31</v>
      </c>
      <c r="J53" s="15" t="s">
        <v>174</v>
      </c>
    </row>
    <row r="54" customFormat="false" ht="15" hidden="false" customHeight="false" outlineLevel="0" collapsed="false">
      <c r="A54" s="14" t="s">
        <v>4</v>
      </c>
      <c r="B54" s="14" t="n">
        <v>85275</v>
      </c>
      <c r="C54" s="18" t="s">
        <v>206</v>
      </c>
      <c r="D54" s="14" t="s">
        <v>101</v>
      </c>
      <c r="E54" s="14" t="s">
        <v>28</v>
      </c>
      <c r="F54" s="16" t="s">
        <v>207</v>
      </c>
      <c r="G54" s="16" t="s">
        <v>208</v>
      </c>
      <c r="H54" s="19" t="s">
        <v>8</v>
      </c>
      <c r="I54" s="14" t="s">
        <v>31</v>
      </c>
      <c r="J54" s="15" t="s">
        <v>46</v>
      </c>
    </row>
    <row r="55" customFormat="false" ht="15" hidden="false" customHeight="false" outlineLevel="0" collapsed="false">
      <c r="A55" s="14" t="s">
        <v>4</v>
      </c>
      <c r="B55" s="14" t="n">
        <v>85265</v>
      </c>
      <c r="C55" s="18" t="s">
        <v>209</v>
      </c>
      <c r="D55" s="14" t="s">
        <v>27</v>
      </c>
      <c r="E55" s="14" t="s">
        <v>65</v>
      </c>
      <c r="F55" s="16" t="s">
        <v>207</v>
      </c>
      <c r="G55" s="16" t="s">
        <v>208</v>
      </c>
      <c r="H55" s="19" t="s">
        <v>8</v>
      </c>
      <c r="I55" s="14" t="s">
        <v>31</v>
      </c>
      <c r="J55" s="15" t="s">
        <v>46</v>
      </c>
    </row>
    <row r="56" customFormat="false" ht="15" hidden="false" customHeight="false" outlineLevel="0" collapsed="false">
      <c r="A56" s="14" t="s">
        <v>4</v>
      </c>
      <c r="B56" s="14" t="n">
        <v>85959</v>
      </c>
      <c r="C56" s="15" t="s">
        <v>210</v>
      </c>
      <c r="D56" s="14" t="s">
        <v>101</v>
      </c>
      <c r="E56" s="14" t="s">
        <v>28</v>
      </c>
      <c r="F56" s="16" t="s">
        <v>211</v>
      </c>
      <c r="G56" s="16" t="s">
        <v>211</v>
      </c>
      <c r="H56" s="19" t="s">
        <v>8</v>
      </c>
      <c r="I56" s="14" t="s">
        <v>31</v>
      </c>
      <c r="J56" s="15" t="s">
        <v>174</v>
      </c>
    </row>
    <row r="57" customFormat="false" ht="15" hidden="false" customHeight="false" outlineLevel="0" collapsed="false">
      <c r="A57" s="14" t="s">
        <v>4</v>
      </c>
      <c r="B57" s="14" t="n">
        <v>86506</v>
      </c>
      <c r="C57" s="18" t="s">
        <v>212</v>
      </c>
      <c r="D57" s="14" t="s">
        <v>27</v>
      </c>
      <c r="E57" s="14" t="s">
        <v>28</v>
      </c>
      <c r="F57" s="16" t="s">
        <v>213</v>
      </c>
      <c r="G57" s="16" t="s">
        <v>146</v>
      </c>
      <c r="H57" s="19" t="s">
        <v>8</v>
      </c>
      <c r="I57" s="14" t="s">
        <v>31</v>
      </c>
      <c r="J57" s="15" t="s">
        <v>46</v>
      </c>
    </row>
    <row r="58" customFormat="false" ht="29.85" hidden="false" customHeight="false" outlineLevel="0" collapsed="false">
      <c r="A58" s="14" t="s">
        <v>4</v>
      </c>
      <c r="B58" s="14" t="n">
        <v>82583</v>
      </c>
      <c r="C58" s="18" t="s">
        <v>214</v>
      </c>
      <c r="D58" s="14" t="s">
        <v>39</v>
      </c>
      <c r="E58" s="14" t="s">
        <v>40</v>
      </c>
      <c r="F58" s="16" t="s">
        <v>215</v>
      </c>
      <c r="G58" s="16" t="s">
        <v>216</v>
      </c>
      <c r="H58" s="20" t="s">
        <v>9</v>
      </c>
      <c r="I58" s="21" t="s">
        <v>49</v>
      </c>
      <c r="J58" s="15" t="s">
        <v>50</v>
      </c>
    </row>
    <row r="59" customFormat="false" ht="15" hidden="false" customHeight="false" outlineLevel="0" collapsed="false">
      <c r="A59" s="14" t="s">
        <v>4</v>
      </c>
      <c r="B59" s="14" t="n">
        <v>82580</v>
      </c>
      <c r="C59" s="18" t="s">
        <v>217</v>
      </c>
      <c r="D59" s="14" t="s">
        <v>39</v>
      </c>
      <c r="E59" s="14" t="s">
        <v>40</v>
      </c>
      <c r="F59" s="16" t="s">
        <v>215</v>
      </c>
      <c r="G59" s="16" t="s">
        <v>92</v>
      </c>
      <c r="H59" s="20" t="s">
        <v>9</v>
      </c>
      <c r="I59" s="21" t="s">
        <v>49</v>
      </c>
      <c r="J59" s="15" t="s">
        <v>50</v>
      </c>
    </row>
    <row r="60" customFormat="false" ht="15" hidden="false" customHeight="false" outlineLevel="0" collapsed="false">
      <c r="A60" s="14" t="s">
        <v>4</v>
      </c>
      <c r="B60" s="14" t="n">
        <v>82464</v>
      </c>
      <c r="C60" s="18" t="s">
        <v>218</v>
      </c>
      <c r="D60" s="14" t="s">
        <v>27</v>
      </c>
      <c r="E60" s="14" t="s">
        <v>28</v>
      </c>
      <c r="F60" s="16" t="s">
        <v>219</v>
      </c>
      <c r="G60" s="16" t="s">
        <v>220</v>
      </c>
      <c r="H60" s="20" t="s">
        <v>9</v>
      </c>
      <c r="I60" s="21" t="s">
        <v>49</v>
      </c>
      <c r="J60" s="15" t="s">
        <v>50</v>
      </c>
    </row>
    <row r="61" customFormat="false" ht="15" hidden="false" customHeight="false" outlineLevel="0" collapsed="false">
      <c r="A61" s="14" t="s">
        <v>4</v>
      </c>
      <c r="B61" s="14" t="n">
        <v>82464</v>
      </c>
      <c r="C61" s="18" t="s">
        <v>221</v>
      </c>
      <c r="D61" s="14" t="s">
        <v>27</v>
      </c>
      <c r="E61" s="14" t="s">
        <v>28</v>
      </c>
      <c r="F61" s="16" t="s">
        <v>219</v>
      </c>
      <c r="G61" s="16" t="s">
        <v>220</v>
      </c>
      <c r="H61" s="20" t="s">
        <v>9</v>
      </c>
      <c r="I61" s="21" t="s">
        <v>49</v>
      </c>
      <c r="J61" s="15" t="s">
        <v>50</v>
      </c>
    </row>
    <row r="62" customFormat="false" ht="15" hidden="false" customHeight="false" outlineLevel="0" collapsed="false">
      <c r="A62" s="14" t="s">
        <v>4</v>
      </c>
      <c r="B62" s="14" t="n">
        <v>82464</v>
      </c>
      <c r="C62" s="18" t="s">
        <v>222</v>
      </c>
      <c r="D62" s="14" t="s">
        <v>27</v>
      </c>
      <c r="E62" s="14" t="s">
        <v>28</v>
      </c>
      <c r="F62" s="16" t="s">
        <v>219</v>
      </c>
      <c r="G62" s="16" t="s">
        <v>220</v>
      </c>
      <c r="H62" s="20" t="s">
        <v>9</v>
      </c>
      <c r="I62" s="21" t="s">
        <v>49</v>
      </c>
      <c r="J62" s="15" t="s">
        <v>50</v>
      </c>
    </row>
    <row r="63" customFormat="false" ht="15" hidden="false" customHeight="false" outlineLevel="0" collapsed="false">
      <c r="A63" s="14" t="s">
        <v>4</v>
      </c>
      <c r="B63" s="14" t="n">
        <v>82464</v>
      </c>
      <c r="C63" s="18" t="s">
        <v>223</v>
      </c>
      <c r="D63" s="14" t="s">
        <v>27</v>
      </c>
      <c r="E63" s="14" t="s">
        <v>28</v>
      </c>
      <c r="F63" s="16" t="s">
        <v>219</v>
      </c>
      <c r="G63" s="16" t="s">
        <v>220</v>
      </c>
      <c r="H63" s="20" t="s">
        <v>9</v>
      </c>
      <c r="I63" s="21" t="s">
        <v>49</v>
      </c>
      <c r="J63" s="15" t="s">
        <v>50</v>
      </c>
    </row>
    <row r="64" customFormat="false" ht="15" hidden="false" customHeight="false" outlineLevel="0" collapsed="false">
      <c r="A64" s="14" t="s">
        <v>4</v>
      </c>
      <c r="B64" s="14" t="n">
        <v>82464</v>
      </c>
      <c r="C64" s="18" t="s">
        <v>224</v>
      </c>
      <c r="D64" s="14" t="s">
        <v>27</v>
      </c>
      <c r="E64" s="14" t="s">
        <v>28</v>
      </c>
      <c r="F64" s="16" t="s">
        <v>219</v>
      </c>
      <c r="G64" s="16" t="s">
        <v>220</v>
      </c>
      <c r="H64" s="20" t="s">
        <v>9</v>
      </c>
      <c r="I64" s="21" t="s">
        <v>49</v>
      </c>
      <c r="J64" s="15" t="s">
        <v>50</v>
      </c>
    </row>
    <row r="65" customFormat="false" ht="15" hidden="false" customHeight="false" outlineLevel="0" collapsed="false">
      <c r="A65" s="14" t="s">
        <v>4</v>
      </c>
      <c r="B65" s="14" t="n">
        <v>82464</v>
      </c>
      <c r="C65" s="18" t="s">
        <v>225</v>
      </c>
      <c r="D65" s="14" t="s">
        <v>27</v>
      </c>
      <c r="E65" s="14" t="s">
        <v>28</v>
      </c>
      <c r="F65" s="16" t="s">
        <v>219</v>
      </c>
      <c r="G65" s="16" t="s">
        <v>220</v>
      </c>
      <c r="H65" s="20" t="s">
        <v>9</v>
      </c>
      <c r="I65" s="21" t="s">
        <v>49</v>
      </c>
      <c r="J65" s="15" t="s">
        <v>50</v>
      </c>
    </row>
    <row r="66" customFormat="false" ht="15" hidden="false" customHeight="false" outlineLevel="0" collapsed="false">
      <c r="A66" s="14" t="s">
        <v>4</v>
      </c>
      <c r="B66" s="14" t="n">
        <v>82464</v>
      </c>
      <c r="C66" s="18" t="s">
        <v>226</v>
      </c>
      <c r="D66" s="14" t="s">
        <v>27</v>
      </c>
      <c r="E66" s="14" t="s">
        <v>28</v>
      </c>
      <c r="F66" s="16" t="s">
        <v>219</v>
      </c>
      <c r="G66" s="16" t="s">
        <v>220</v>
      </c>
      <c r="H66" s="20" t="s">
        <v>9</v>
      </c>
      <c r="I66" s="21" t="s">
        <v>49</v>
      </c>
      <c r="J66" s="15" t="s">
        <v>50</v>
      </c>
    </row>
    <row r="67" customFormat="false" ht="15" hidden="false" customHeight="false" outlineLevel="0" collapsed="false">
      <c r="A67" s="14" t="s">
        <v>4</v>
      </c>
      <c r="B67" s="14" t="n">
        <v>82464</v>
      </c>
      <c r="C67" s="18" t="s">
        <v>227</v>
      </c>
      <c r="D67" s="14" t="s">
        <v>27</v>
      </c>
      <c r="E67" s="14" t="s">
        <v>28</v>
      </c>
      <c r="F67" s="16" t="s">
        <v>219</v>
      </c>
      <c r="G67" s="16" t="s">
        <v>220</v>
      </c>
      <c r="H67" s="20" t="s">
        <v>9</v>
      </c>
      <c r="I67" s="21" t="s">
        <v>49</v>
      </c>
      <c r="J67" s="15" t="s">
        <v>50</v>
      </c>
    </row>
    <row r="68" customFormat="false" ht="15" hidden="false" customHeight="false" outlineLevel="0" collapsed="false">
      <c r="A68" s="14" t="s">
        <v>4</v>
      </c>
      <c r="B68" s="14" t="n">
        <v>82122</v>
      </c>
      <c r="C68" s="18" t="s">
        <v>228</v>
      </c>
      <c r="D68" s="14" t="s">
        <v>27</v>
      </c>
      <c r="E68" s="14" t="s">
        <v>102</v>
      </c>
      <c r="F68" s="16" t="s">
        <v>229</v>
      </c>
      <c r="G68" s="16" t="s">
        <v>220</v>
      </c>
      <c r="H68" s="20" t="s">
        <v>9</v>
      </c>
      <c r="I68" s="21" t="s">
        <v>49</v>
      </c>
      <c r="J68" s="15" t="s">
        <v>50</v>
      </c>
    </row>
    <row r="69" customFormat="false" ht="15" hidden="false" customHeight="false" outlineLevel="0" collapsed="false">
      <c r="A69" s="14" t="s">
        <v>4</v>
      </c>
      <c r="B69" s="14" t="n">
        <v>82293</v>
      </c>
      <c r="C69" s="18" t="s">
        <v>230</v>
      </c>
      <c r="D69" s="14" t="s">
        <v>27</v>
      </c>
      <c r="E69" s="14" t="s">
        <v>28</v>
      </c>
      <c r="F69" s="16" t="s">
        <v>231</v>
      </c>
      <c r="G69" s="16" t="s">
        <v>232</v>
      </c>
      <c r="H69" s="20" t="s">
        <v>9</v>
      </c>
      <c r="I69" s="21" t="s">
        <v>49</v>
      </c>
      <c r="J69" s="15" t="s">
        <v>50</v>
      </c>
    </row>
    <row r="70" customFormat="false" ht="15" hidden="false" customHeight="false" outlineLevel="0" collapsed="false">
      <c r="A70" s="14" t="s">
        <v>4</v>
      </c>
      <c r="B70" s="14" t="n">
        <v>83027</v>
      </c>
      <c r="C70" s="18" t="s">
        <v>233</v>
      </c>
      <c r="D70" s="14" t="s">
        <v>39</v>
      </c>
      <c r="E70" s="14" t="s">
        <v>109</v>
      </c>
      <c r="F70" s="16" t="s">
        <v>234</v>
      </c>
      <c r="G70" s="16" t="s">
        <v>232</v>
      </c>
      <c r="H70" s="20" t="s">
        <v>9</v>
      </c>
      <c r="I70" s="21" t="s">
        <v>49</v>
      </c>
      <c r="J70" s="15" t="s">
        <v>50</v>
      </c>
    </row>
    <row r="71" customFormat="false" ht="15" hidden="false" customHeight="false" outlineLevel="0" collapsed="false">
      <c r="A71" s="14" t="s">
        <v>4</v>
      </c>
      <c r="B71" s="14" t="n">
        <v>83529</v>
      </c>
      <c r="C71" s="15" t="s">
        <v>235</v>
      </c>
      <c r="D71" s="14" t="s">
        <v>39</v>
      </c>
      <c r="E71" s="14" t="s">
        <v>109</v>
      </c>
      <c r="F71" s="16" t="s">
        <v>236</v>
      </c>
      <c r="G71" s="16" t="s">
        <v>237</v>
      </c>
      <c r="H71" s="20" t="s">
        <v>9</v>
      </c>
      <c r="I71" s="21" t="s">
        <v>49</v>
      </c>
      <c r="J71" s="15" t="s">
        <v>50</v>
      </c>
    </row>
    <row r="72" customFormat="false" ht="15" hidden="false" customHeight="false" outlineLevel="0" collapsed="false">
      <c r="A72" s="14" t="s">
        <v>4</v>
      </c>
      <c r="B72" s="14" t="n">
        <v>84422</v>
      </c>
      <c r="C72" s="18" t="s">
        <v>238</v>
      </c>
      <c r="D72" s="14" t="s">
        <v>27</v>
      </c>
      <c r="E72" s="14" t="s">
        <v>28</v>
      </c>
      <c r="F72" s="16" t="s">
        <v>239</v>
      </c>
      <c r="G72" s="16" t="s">
        <v>163</v>
      </c>
      <c r="H72" s="20" t="s">
        <v>9</v>
      </c>
      <c r="I72" s="21" t="s">
        <v>49</v>
      </c>
      <c r="J72" s="15" t="s">
        <v>50</v>
      </c>
    </row>
    <row r="73" customFormat="false" ht="15" hidden="false" customHeight="false" outlineLevel="0" collapsed="false">
      <c r="A73" s="14" t="s">
        <v>4</v>
      </c>
      <c r="B73" s="14" t="n">
        <v>83978</v>
      </c>
      <c r="C73" s="18" t="s">
        <v>240</v>
      </c>
      <c r="D73" s="14" t="s">
        <v>39</v>
      </c>
      <c r="E73" s="14" t="s">
        <v>40</v>
      </c>
      <c r="F73" s="16" t="s">
        <v>241</v>
      </c>
      <c r="G73" s="16" t="s">
        <v>242</v>
      </c>
      <c r="H73" s="20" t="s">
        <v>9</v>
      </c>
      <c r="I73" s="21" t="s">
        <v>49</v>
      </c>
      <c r="J73" s="15" t="s">
        <v>50</v>
      </c>
    </row>
    <row r="74" customFormat="false" ht="15" hidden="false" customHeight="false" outlineLevel="0" collapsed="false">
      <c r="A74" s="14" t="s">
        <v>4</v>
      </c>
      <c r="B74" s="14" t="n">
        <v>84800</v>
      </c>
      <c r="C74" s="18" t="s">
        <v>243</v>
      </c>
      <c r="D74" s="14" t="s">
        <v>39</v>
      </c>
      <c r="E74" s="14" t="s">
        <v>28</v>
      </c>
      <c r="F74" s="16" t="s">
        <v>244</v>
      </c>
      <c r="G74" s="16" t="s">
        <v>207</v>
      </c>
      <c r="H74" s="20" t="s">
        <v>9</v>
      </c>
      <c r="I74" s="21" t="s">
        <v>49</v>
      </c>
      <c r="J74" s="15" t="s">
        <v>50</v>
      </c>
    </row>
    <row r="75" customFormat="false" ht="15" hidden="false" customHeight="false" outlineLevel="0" collapsed="false">
      <c r="A75" s="14" t="s">
        <v>4</v>
      </c>
      <c r="B75" s="14" t="n">
        <v>85125</v>
      </c>
      <c r="C75" s="18" t="s">
        <v>245</v>
      </c>
      <c r="D75" s="14" t="s">
        <v>39</v>
      </c>
      <c r="E75" s="14" t="s">
        <v>28</v>
      </c>
      <c r="F75" s="16" t="s">
        <v>246</v>
      </c>
      <c r="G75" s="16" t="s">
        <v>183</v>
      </c>
      <c r="H75" s="20" t="s">
        <v>9</v>
      </c>
      <c r="I75" s="21" t="s">
        <v>49</v>
      </c>
      <c r="J75" s="15" t="s">
        <v>50</v>
      </c>
    </row>
    <row r="76" customFormat="false" ht="15" hidden="false" customHeight="false" outlineLevel="0" collapsed="false">
      <c r="A76" s="14" t="s">
        <v>4</v>
      </c>
      <c r="B76" s="14" t="n">
        <v>85713</v>
      </c>
      <c r="C76" s="18" t="s">
        <v>64</v>
      </c>
      <c r="D76" s="14" t="s">
        <v>39</v>
      </c>
      <c r="E76" s="14" t="s">
        <v>65</v>
      </c>
      <c r="F76" s="16" t="s">
        <v>247</v>
      </c>
      <c r="G76" s="16" t="s">
        <v>148</v>
      </c>
      <c r="H76" s="20" t="s">
        <v>9</v>
      </c>
      <c r="I76" s="21" t="s">
        <v>49</v>
      </c>
      <c r="J76" s="15" t="s">
        <v>50</v>
      </c>
    </row>
    <row r="77" customFormat="false" ht="15" hidden="false" customHeight="false" outlineLevel="0" collapsed="false">
      <c r="A77" s="14" t="s">
        <v>4</v>
      </c>
      <c r="B77" s="14" t="n">
        <v>85991</v>
      </c>
      <c r="C77" s="18" t="s">
        <v>248</v>
      </c>
      <c r="D77" s="14" t="s">
        <v>27</v>
      </c>
      <c r="E77" s="14" t="s">
        <v>55</v>
      </c>
      <c r="F77" s="16" t="s">
        <v>249</v>
      </c>
      <c r="G77" s="16" t="s">
        <v>148</v>
      </c>
      <c r="H77" s="20" t="s">
        <v>9</v>
      </c>
      <c r="I77" s="21" t="s">
        <v>49</v>
      </c>
      <c r="J77" s="15" t="s">
        <v>50</v>
      </c>
    </row>
    <row r="78" customFormat="false" ht="15" hidden="false" customHeight="false" outlineLevel="0" collapsed="false">
      <c r="A78" s="14" t="s">
        <v>4</v>
      </c>
      <c r="B78" s="14" t="n">
        <v>84765</v>
      </c>
      <c r="C78" s="18" t="s">
        <v>250</v>
      </c>
      <c r="D78" s="14" t="s">
        <v>27</v>
      </c>
      <c r="E78" s="14" t="s">
        <v>55</v>
      </c>
      <c r="F78" s="16" t="s">
        <v>251</v>
      </c>
      <c r="G78" s="16" t="s">
        <v>148</v>
      </c>
      <c r="H78" s="20" t="s">
        <v>9</v>
      </c>
      <c r="I78" s="21" t="s">
        <v>49</v>
      </c>
      <c r="J78" s="15" t="s">
        <v>50</v>
      </c>
    </row>
    <row r="79" customFormat="false" ht="15" hidden="false" customHeight="false" outlineLevel="0" collapsed="false">
      <c r="A79" s="14" t="s">
        <v>4</v>
      </c>
      <c r="B79" s="14" t="n">
        <v>81723</v>
      </c>
      <c r="C79" s="15" t="s">
        <v>252</v>
      </c>
      <c r="D79" s="14" t="s">
        <v>27</v>
      </c>
      <c r="E79" s="14" t="s">
        <v>253</v>
      </c>
      <c r="F79" s="16" t="s">
        <v>254</v>
      </c>
      <c r="G79" s="16" t="s">
        <v>111</v>
      </c>
      <c r="H79" s="20" t="s">
        <v>9</v>
      </c>
      <c r="I79" s="14" t="s">
        <v>31</v>
      </c>
      <c r="J79" s="15" t="s">
        <v>71</v>
      </c>
    </row>
    <row r="80" customFormat="false" ht="15" hidden="false" customHeight="false" outlineLevel="0" collapsed="false">
      <c r="A80" s="14" t="s">
        <v>4</v>
      </c>
      <c r="B80" s="14" t="n">
        <v>81318</v>
      </c>
      <c r="C80" s="15" t="s">
        <v>255</v>
      </c>
      <c r="D80" s="14" t="s">
        <v>27</v>
      </c>
      <c r="E80" s="14" t="s">
        <v>28</v>
      </c>
      <c r="F80" s="16" t="s">
        <v>256</v>
      </c>
      <c r="G80" s="16" t="s">
        <v>111</v>
      </c>
      <c r="H80" s="20" t="s">
        <v>9</v>
      </c>
      <c r="I80" s="14" t="s">
        <v>31</v>
      </c>
      <c r="J80" s="15" t="s">
        <v>50</v>
      </c>
    </row>
    <row r="81" customFormat="false" ht="15" hidden="false" customHeight="false" outlineLevel="0" collapsed="false">
      <c r="A81" s="14" t="s">
        <v>4</v>
      </c>
      <c r="B81" s="14" t="n">
        <v>81513</v>
      </c>
      <c r="C81" s="18" t="s">
        <v>257</v>
      </c>
      <c r="D81" s="14" t="s">
        <v>39</v>
      </c>
      <c r="E81" s="14" t="s">
        <v>28</v>
      </c>
      <c r="F81" s="16" t="s">
        <v>258</v>
      </c>
      <c r="G81" s="16" t="s">
        <v>216</v>
      </c>
      <c r="H81" s="20" t="s">
        <v>9</v>
      </c>
      <c r="I81" s="14" t="s">
        <v>31</v>
      </c>
      <c r="J81" s="15" t="s">
        <v>71</v>
      </c>
    </row>
    <row r="82" customFormat="false" ht="15" hidden="false" customHeight="false" outlineLevel="0" collapsed="false">
      <c r="A82" s="14" t="s">
        <v>4</v>
      </c>
      <c r="B82" s="14" t="n">
        <v>81850</v>
      </c>
      <c r="C82" s="15" t="s">
        <v>259</v>
      </c>
      <c r="D82" s="14" t="s">
        <v>39</v>
      </c>
      <c r="E82" s="14" t="s">
        <v>253</v>
      </c>
      <c r="F82" s="16" t="s">
        <v>260</v>
      </c>
      <c r="G82" s="16" t="s">
        <v>162</v>
      </c>
      <c r="H82" s="20" t="s">
        <v>9</v>
      </c>
      <c r="I82" s="14" t="s">
        <v>31</v>
      </c>
      <c r="J82" s="15" t="s">
        <v>71</v>
      </c>
    </row>
    <row r="83" customFormat="false" ht="15" hidden="false" customHeight="false" outlineLevel="0" collapsed="false">
      <c r="A83" s="14" t="s">
        <v>4</v>
      </c>
      <c r="B83" s="14" t="n">
        <v>80642</v>
      </c>
      <c r="C83" s="18" t="s">
        <v>261</v>
      </c>
      <c r="D83" s="14" t="s">
        <v>27</v>
      </c>
      <c r="E83" s="14" t="s">
        <v>160</v>
      </c>
      <c r="F83" s="16" t="s">
        <v>262</v>
      </c>
      <c r="G83" s="16" t="s">
        <v>196</v>
      </c>
      <c r="H83" s="20" t="s">
        <v>9</v>
      </c>
      <c r="I83" s="14" t="s">
        <v>31</v>
      </c>
      <c r="J83" s="15" t="s">
        <v>71</v>
      </c>
    </row>
    <row r="84" customFormat="false" ht="15" hidden="false" customHeight="false" outlineLevel="0" collapsed="false">
      <c r="A84" s="14" t="s">
        <v>4</v>
      </c>
      <c r="B84" s="14" t="n">
        <v>82383</v>
      </c>
      <c r="C84" s="18" t="s">
        <v>263</v>
      </c>
      <c r="D84" s="14" t="s">
        <v>27</v>
      </c>
      <c r="E84" s="14" t="s">
        <v>40</v>
      </c>
      <c r="F84" s="16" t="s">
        <v>264</v>
      </c>
      <c r="G84" s="16" t="s">
        <v>196</v>
      </c>
      <c r="H84" s="20" t="s">
        <v>9</v>
      </c>
      <c r="I84" s="14" t="s">
        <v>31</v>
      </c>
      <c r="J84" s="15" t="s">
        <v>71</v>
      </c>
    </row>
    <row r="85" customFormat="false" ht="15" hidden="false" customHeight="false" outlineLevel="0" collapsed="false">
      <c r="A85" s="14" t="s">
        <v>4</v>
      </c>
      <c r="B85" s="14" t="n">
        <v>83079</v>
      </c>
      <c r="C85" s="18" t="s">
        <v>265</v>
      </c>
      <c r="D85" s="14" t="s">
        <v>39</v>
      </c>
      <c r="E85" s="14" t="s">
        <v>109</v>
      </c>
      <c r="F85" s="16" t="s">
        <v>266</v>
      </c>
      <c r="G85" s="16" t="s">
        <v>196</v>
      </c>
      <c r="H85" s="20" t="s">
        <v>9</v>
      </c>
      <c r="I85" s="14" t="s">
        <v>31</v>
      </c>
      <c r="J85" s="15" t="s">
        <v>50</v>
      </c>
    </row>
    <row r="86" customFormat="false" ht="15" hidden="false" customHeight="false" outlineLevel="0" collapsed="false">
      <c r="A86" s="14" t="s">
        <v>4</v>
      </c>
      <c r="B86" s="14" t="n">
        <v>82018</v>
      </c>
      <c r="C86" s="15" t="s">
        <v>267</v>
      </c>
      <c r="D86" s="14" t="s">
        <v>27</v>
      </c>
      <c r="E86" s="14" t="s">
        <v>253</v>
      </c>
      <c r="F86" s="16" t="s">
        <v>268</v>
      </c>
      <c r="G86" s="16" t="s">
        <v>118</v>
      </c>
      <c r="H86" s="20" t="s">
        <v>9</v>
      </c>
      <c r="I86" s="14" t="s">
        <v>31</v>
      </c>
      <c r="J86" s="15" t="s">
        <v>71</v>
      </c>
    </row>
    <row r="87" customFormat="false" ht="15" hidden="false" customHeight="false" outlineLevel="0" collapsed="false">
      <c r="A87" s="14" t="s">
        <v>4</v>
      </c>
      <c r="B87" s="14" t="n">
        <v>82018</v>
      </c>
      <c r="C87" s="15" t="s">
        <v>269</v>
      </c>
      <c r="D87" s="14" t="s">
        <v>27</v>
      </c>
      <c r="E87" s="14" t="s">
        <v>253</v>
      </c>
      <c r="F87" s="16" t="s">
        <v>268</v>
      </c>
      <c r="G87" s="16" t="s">
        <v>118</v>
      </c>
      <c r="H87" s="20" t="s">
        <v>9</v>
      </c>
      <c r="I87" s="14" t="s">
        <v>31</v>
      </c>
      <c r="J87" s="15" t="s">
        <v>71</v>
      </c>
    </row>
    <row r="88" customFormat="false" ht="15" hidden="false" customHeight="false" outlineLevel="0" collapsed="false">
      <c r="A88" s="14" t="s">
        <v>4</v>
      </c>
      <c r="B88" s="14" t="n">
        <v>82440</v>
      </c>
      <c r="C88" s="18" t="s">
        <v>270</v>
      </c>
      <c r="D88" s="14" t="s">
        <v>39</v>
      </c>
      <c r="E88" s="14" t="s">
        <v>253</v>
      </c>
      <c r="F88" s="16" t="s">
        <v>219</v>
      </c>
      <c r="G88" s="16" t="s">
        <v>118</v>
      </c>
      <c r="H88" s="20" t="s">
        <v>9</v>
      </c>
      <c r="I88" s="14" t="s">
        <v>31</v>
      </c>
      <c r="J88" s="15" t="s">
        <v>71</v>
      </c>
    </row>
    <row r="89" customFormat="false" ht="15" hidden="false" customHeight="false" outlineLevel="0" collapsed="false">
      <c r="A89" s="14" t="s">
        <v>4</v>
      </c>
      <c r="B89" s="14" t="n">
        <v>83442</v>
      </c>
      <c r="C89" s="18" t="s">
        <v>271</v>
      </c>
      <c r="D89" s="14" t="s">
        <v>101</v>
      </c>
      <c r="E89" s="14" t="s">
        <v>28</v>
      </c>
      <c r="F89" s="16" t="s">
        <v>117</v>
      </c>
      <c r="G89" s="16" t="s">
        <v>118</v>
      </c>
      <c r="H89" s="20" t="s">
        <v>9</v>
      </c>
      <c r="I89" s="14" t="s">
        <v>31</v>
      </c>
      <c r="J89" s="15" t="s">
        <v>50</v>
      </c>
    </row>
    <row r="90" customFormat="false" ht="15" hidden="false" customHeight="false" outlineLevel="0" collapsed="false">
      <c r="A90" s="14" t="s">
        <v>4</v>
      </c>
      <c r="B90" s="14" t="n">
        <v>81772</v>
      </c>
      <c r="C90" s="18" t="s">
        <v>272</v>
      </c>
      <c r="D90" s="14"/>
      <c r="E90" s="14" t="s">
        <v>160</v>
      </c>
      <c r="F90" s="16" t="s">
        <v>273</v>
      </c>
      <c r="G90" s="16" t="s">
        <v>92</v>
      </c>
      <c r="H90" s="20" t="s">
        <v>9</v>
      </c>
      <c r="I90" s="14" t="s">
        <v>31</v>
      </c>
      <c r="J90" s="15" t="s">
        <v>71</v>
      </c>
    </row>
    <row r="91" customFormat="false" ht="15" hidden="false" customHeight="false" outlineLevel="0" collapsed="false">
      <c r="A91" s="14" t="s">
        <v>4</v>
      </c>
      <c r="B91" s="14" t="n">
        <v>81901</v>
      </c>
      <c r="C91" s="18" t="s">
        <v>274</v>
      </c>
      <c r="D91" s="14" t="s">
        <v>39</v>
      </c>
      <c r="E91" s="14" t="s">
        <v>102</v>
      </c>
      <c r="F91" s="16" t="s">
        <v>275</v>
      </c>
      <c r="G91" s="16" t="s">
        <v>92</v>
      </c>
      <c r="H91" s="20" t="s">
        <v>9</v>
      </c>
      <c r="I91" s="14" t="s">
        <v>31</v>
      </c>
      <c r="J91" s="15" t="s">
        <v>71</v>
      </c>
    </row>
    <row r="92" customFormat="false" ht="15" hidden="false" customHeight="false" outlineLevel="0" collapsed="false">
      <c r="A92" s="14" t="s">
        <v>4</v>
      </c>
      <c r="B92" s="14" t="n">
        <v>82043</v>
      </c>
      <c r="C92" s="18" t="s">
        <v>276</v>
      </c>
      <c r="D92" s="14" t="s">
        <v>39</v>
      </c>
      <c r="E92" s="14" t="s">
        <v>40</v>
      </c>
      <c r="F92" s="16" t="s">
        <v>277</v>
      </c>
      <c r="G92" s="16" t="s">
        <v>92</v>
      </c>
      <c r="H92" s="20" t="s">
        <v>9</v>
      </c>
      <c r="I92" s="14" t="s">
        <v>31</v>
      </c>
      <c r="J92" s="15" t="s">
        <v>71</v>
      </c>
    </row>
    <row r="93" customFormat="false" ht="15" hidden="false" customHeight="false" outlineLevel="0" collapsed="false">
      <c r="A93" s="14" t="s">
        <v>4</v>
      </c>
      <c r="B93" s="14" t="n">
        <v>82406</v>
      </c>
      <c r="C93" s="15" t="s">
        <v>278</v>
      </c>
      <c r="D93" s="14" t="s">
        <v>39</v>
      </c>
      <c r="E93" s="14" t="s">
        <v>253</v>
      </c>
      <c r="F93" s="16" t="s">
        <v>264</v>
      </c>
      <c r="G93" s="16" t="s">
        <v>92</v>
      </c>
      <c r="H93" s="20" t="s">
        <v>9</v>
      </c>
      <c r="I93" s="14" t="s">
        <v>31</v>
      </c>
      <c r="J93" s="15" t="s">
        <v>71</v>
      </c>
    </row>
    <row r="94" customFormat="false" ht="15" hidden="false" customHeight="false" outlineLevel="0" collapsed="false">
      <c r="A94" s="14" t="s">
        <v>4</v>
      </c>
      <c r="B94" s="14" t="n">
        <v>82117</v>
      </c>
      <c r="C94" s="15" t="s">
        <v>279</v>
      </c>
      <c r="D94" s="14" t="s">
        <v>27</v>
      </c>
      <c r="E94" s="14" t="s">
        <v>28</v>
      </c>
      <c r="F94" s="16" t="s">
        <v>280</v>
      </c>
      <c r="G94" s="16" t="s">
        <v>92</v>
      </c>
      <c r="H94" s="20" t="s">
        <v>9</v>
      </c>
      <c r="I94" s="14" t="s">
        <v>31</v>
      </c>
      <c r="J94" s="15" t="s">
        <v>71</v>
      </c>
    </row>
    <row r="95" customFormat="false" ht="15" hidden="false" customHeight="false" outlineLevel="0" collapsed="false">
      <c r="A95" s="14" t="s">
        <v>4</v>
      </c>
      <c r="B95" s="14" t="n">
        <v>82829</v>
      </c>
      <c r="C95" s="18" t="s">
        <v>281</v>
      </c>
      <c r="D95" s="14" t="s">
        <v>27</v>
      </c>
      <c r="E95" s="16" t="s">
        <v>35</v>
      </c>
      <c r="F95" s="16" t="s">
        <v>282</v>
      </c>
      <c r="G95" s="16" t="s">
        <v>99</v>
      </c>
      <c r="H95" s="20" t="s">
        <v>9</v>
      </c>
      <c r="I95" s="14" t="s">
        <v>31</v>
      </c>
      <c r="J95" s="15" t="s">
        <v>71</v>
      </c>
    </row>
    <row r="96" customFormat="false" ht="15" hidden="false" customHeight="false" outlineLevel="0" collapsed="false">
      <c r="A96" s="14" t="s">
        <v>4</v>
      </c>
      <c r="B96" s="14" t="n">
        <v>82728</v>
      </c>
      <c r="C96" s="15" t="s">
        <v>283</v>
      </c>
      <c r="D96" s="14" t="s">
        <v>27</v>
      </c>
      <c r="E96" s="16" t="s">
        <v>35</v>
      </c>
      <c r="F96" s="16" t="s">
        <v>284</v>
      </c>
      <c r="G96" s="16" t="s">
        <v>99</v>
      </c>
      <c r="H96" s="20" t="s">
        <v>9</v>
      </c>
      <c r="I96" s="14" t="s">
        <v>31</v>
      </c>
      <c r="J96" s="15" t="s">
        <v>71</v>
      </c>
    </row>
    <row r="97" customFormat="false" ht="15" hidden="false" customHeight="false" outlineLevel="0" collapsed="false">
      <c r="A97" s="14" t="s">
        <v>4</v>
      </c>
      <c r="B97" s="14" t="n">
        <v>81995</v>
      </c>
      <c r="C97" s="18" t="s">
        <v>285</v>
      </c>
      <c r="D97" s="14" t="s">
        <v>27</v>
      </c>
      <c r="E97" s="14" t="s">
        <v>40</v>
      </c>
      <c r="F97" s="16" t="s">
        <v>286</v>
      </c>
      <c r="G97" s="16" t="s">
        <v>220</v>
      </c>
      <c r="H97" s="20" t="s">
        <v>9</v>
      </c>
      <c r="I97" s="14" t="s">
        <v>31</v>
      </c>
      <c r="J97" s="15" t="s">
        <v>71</v>
      </c>
    </row>
    <row r="98" customFormat="false" ht="15" hidden="false" customHeight="false" outlineLevel="0" collapsed="false">
      <c r="A98" s="14" t="s">
        <v>4</v>
      </c>
      <c r="B98" s="14" t="n">
        <v>83098</v>
      </c>
      <c r="C98" s="15" t="s">
        <v>287</v>
      </c>
      <c r="D98" s="14" t="s">
        <v>39</v>
      </c>
      <c r="E98" s="16" t="s">
        <v>35</v>
      </c>
      <c r="F98" s="16" t="s">
        <v>288</v>
      </c>
      <c r="G98" s="16" t="s">
        <v>220</v>
      </c>
      <c r="H98" s="20" t="s">
        <v>9</v>
      </c>
      <c r="I98" s="14" t="s">
        <v>31</v>
      </c>
      <c r="J98" s="15" t="s">
        <v>71</v>
      </c>
    </row>
    <row r="99" customFormat="false" ht="15" hidden="false" customHeight="false" outlineLevel="0" collapsed="false">
      <c r="A99" s="14" t="s">
        <v>4</v>
      </c>
      <c r="B99" s="14" t="n">
        <v>81902</v>
      </c>
      <c r="C99" s="18" t="s">
        <v>289</v>
      </c>
      <c r="D99" s="14" t="s">
        <v>27</v>
      </c>
      <c r="E99" s="14" t="s">
        <v>290</v>
      </c>
      <c r="F99" s="16" t="s">
        <v>275</v>
      </c>
      <c r="G99" s="16" t="s">
        <v>232</v>
      </c>
      <c r="H99" s="20" t="s">
        <v>9</v>
      </c>
      <c r="I99" s="14" t="s">
        <v>31</v>
      </c>
      <c r="J99" s="15" t="s">
        <v>71</v>
      </c>
    </row>
    <row r="100" customFormat="false" ht="15" hidden="false" customHeight="false" outlineLevel="0" collapsed="false">
      <c r="A100" s="14" t="s">
        <v>4</v>
      </c>
      <c r="B100" s="14" t="n">
        <v>82018</v>
      </c>
      <c r="C100" s="15" t="s">
        <v>291</v>
      </c>
      <c r="D100" s="14" t="s">
        <v>27</v>
      </c>
      <c r="E100" s="14" t="s">
        <v>253</v>
      </c>
      <c r="F100" s="16" t="s">
        <v>268</v>
      </c>
      <c r="G100" s="16" t="s">
        <v>232</v>
      </c>
      <c r="H100" s="20" t="s">
        <v>9</v>
      </c>
      <c r="I100" s="14" t="s">
        <v>31</v>
      </c>
      <c r="J100" s="15" t="s">
        <v>71</v>
      </c>
    </row>
    <row r="101" customFormat="false" ht="29.85" hidden="false" customHeight="false" outlineLevel="0" collapsed="false">
      <c r="A101" s="14" t="s">
        <v>4</v>
      </c>
      <c r="B101" s="14" t="n">
        <v>82675</v>
      </c>
      <c r="C101" s="18" t="s">
        <v>292</v>
      </c>
      <c r="D101" s="14" t="s">
        <v>39</v>
      </c>
      <c r="E101" s="14" t="s">
        <v>40</v>
      </c>
      <c r="F101" s="16" t="s">
        <v>293</v>
      </c>
      <c r="G101" s="16" t="s">
        <v>232</v>
      </c>
      <c r="H101" s="20" t="s">
        <v>9</v>
      </c>
      <c r="I101" s="14" t="s">
        <v>31</v>
      </c>
      <c r="J101" s="15" t="s">
        <v>71</v>
      </c>
    </row>
    <row r="102" customFormat="false" ht="15" hidden="false" customHeight="false" outlineLevel="0" collapsed="false">
      <c r="A102" s="14" t="s">
        <v>4</v>
      </c>
      <c r="B102" s="14" t="n">
        <v>83012</v>
      </c>
      <c r="C102" s="15" t="s">
        <v>294</v>
      </c>
      <c r="D102" s="14" t="s">
        <v>101</v>
      </c>
      <c r="E102" s="14" t="s">
        <v>40</v>
      </c>
      <c r="F102" s="16" t="s">
        <v>110</v>
      </c>
      <c r="G102" s="16" t="s">
        <v>232</v>
      </c>
      <c r="H102" s="20" t="s">
        <v>9</v>
      </c>
      <c r="I102" s="14" t="s">
        <v>31</v>
      </c>
      <c r="J102" s="15" t="s">
        <v>71</v>
      </c>
    </row>
    <row r="103" customFormat="false" ht="15" hidden="false" customHeight="false" outlineLevel="0" collapsed="false">
      <c r="A103" s="14" t="s">
        <v>4</v>
      </c>
      <c r="B103" s="14" t="n">
        <v>81006</v>
      </c>
      <c r="C103" s="15" t="s">
        <v>295</v>
      </c>
      <c r="D103" s="14" t="s">
        <v>39</v>
      </c>
      <c r="E103" s="14" t="s">
        <v>253</v>
      </c>
      <c r="F103" s="16" t="s">
        <v>296</v>
      </c>
      <c r="G103" s="16" t="s">
        <v>232</v>
      </c>
      <c r="H103" s="20" t="s">
        <v>9</v>
      </c>
      <c r="I103" s="14" t="s">
        <v>31</v>
      </c>
      <c r="J103" s="15" t="s">
        <v>71</v>
      </c>
    </row>
    <row r="104" customFormat="false" ht="15" hidden="false" customHeight="false" outlineLevel="0" collapsed="false">
      <c r="A104" s="14" t="s">
        <v>4</v>
      </c>
      <c r="B104" s="14" t="n">
        <v>82619</v>
      </c>
      <c r="C104" s="18" t="s">
        <v>297</v>
      </c>
      <c r="D104" s="14" t="s">
        <v>27</v>
      </c>
      <c r="E104" s="14" t="s">
        <v>290</v>
      </c>
      <c r="F104" s="16" t="s">
        <v>298</v>
      </c>
      <c r="G104" s="16" t="s">
        <v>232</v>
      </c>
      <c r="H104" s="20" t="s">
        <v>9</v>
      </c>
      <c r="I104" s="14" t="s">
        <v>31</v>
      </c>
      <c r="J104" s="15" t="s">
        <v>71</v>
      </c>
    </row>
    <row r="105" customFormat="false" ht="15" hidden="false" customHeight="false" outlineLevel="0" collapsed="false">
      <c r="A105" s="14" t="s">
        <v>4</v>
      </c>
      <c r="B105" s="14" t="n">
        <v>83395</v>
      </c>
      <c r="C105" s="18" t="s">
        <v>299</v>
      </c>
      <c r="D105" s="14" t="s">
        <v>39</v>
      </c>
      <c r="E105" s="14" t="s">
        <v>40</v>
      </c>
      <c r="F105" s="16" t="s">
        <v>300</v>
      </c>
      <c r="G105" s="16" t="s">
        <v>237</v>
      </c>
      <c r="H105" s="20" t="s">
        <v>9</v>
      </c>
      <c r="I105" s="14" t="s">
        <v>31</v>
      </c>
      <c r="J105" s="15" t="s">
        <v>71</v>
      </c>
    </row>
    <row r="106" customFormat="false" ht="15" hidden="false" customHeight="false" outlineLevel="0" collapsed="false">
      <c r="A106" s="14" t="s">
        <v>4</v>
      </c>
      <c r="B106" s="14" t="n">
        <v>83524</v>
      </c>
      <c r="C106" s="18" t="s">
        <v>301</v>
      </c>
      <c r="D106" s="14" t="s">
        <v>27</v>
      </c>
      <c r="E106" s="14" t="s">
        <v>160</v>
      </c>
      <c r="F106" s="16" t="s">
        <v>236</v>
      </c>
      <c r="G106" s="16" t="s">
        <v>131</v>
      </c>
      <c r="H106" s="20" t="s">
        <v>9</v>
      </c>
      <c r="I106" s="14" t="s">
        <v>31</v>
      </c>
      <c r="J106" s="15" t="s">
        <v>71</v>
      </c>
    </row>
    <row r="107" customFormat="false" ht="15" hidden="false" customHeight="false" outlineLevel="0" collapsed="false">
      <c r="A107" s="14" t="s">
        <v>4</v>
      </c>
      <c r="B107" s="14" t="n">
        <v>82957</v>
      </c>
      <c r="C107" s="18" t="s">
        <v>302</v>
      </c>
      <c r="D107" s="14" t="s">
        <v>27</v>
      </c>
      <c r="E107" s="16" t="s">
        <v>35</v>
      </c>
      <c r="F107" s="16" t="s">
        <v>110</v>
      </c>
      <c r="G107" s="16" t="s">
        <v>176</v>
      </c>
      <c r="H107" s="20" t="s">
        <v>9</v>
      </c>
      <c r="I107" s="14" t="s">
        <v>31</v>
      </c>
      <c r="J107" s="15" t="s">
        <v>71</v>
      </c>
    </row>
    <row r="108" customFormat="false" ht="15" hidden="false" customHeight="false" outlineLevel="0" collapsed="false">
      <c r="A108" s="14" t="s">
        <v>4</v>
      </c>
      <c r="B108" s="14" t="n">
        <v>83211</v>
      </c>
      <c r="C108" s="15" t="s">
        <v>303</v>
      </c>
      <c r="D108" s="14" t="s">
        <v>27</v>
      </c>
      <c r="E108" s="14" t="s">
        <v>28</v>
      </c>
      <c r="F108" s="16" t="s">
        <v>158</v>
      </c>
      <c r="G108" s="16" t="s">
        <v>176</v>
      </c>
      <c r="H108" s="20" t="s">
        <v>9</v>
      </c>
      <c r="I108" s="14" t="s">
        <v>31</v>
      </c>
      <c r="J108" s="15" t="s">
        <v>71</v>
      </c>
    </row>
    <row r="109" customFormat="false" ht="15" hidden="false" customHeight="false" outlineLevel="0" collapsed="false">
      <c r="A109" s="14" t="s">
        <v>4</v>
      </c>
      <c r="B109" s="14" t="n">
        <v>83277</v>
      </c>
      <c r="C109" s="18" t="s">
        <v>304</v>
      </c>
      <c r="D109" s="14" t="s">
        <v>27</v>
      </c>
      <c r="E109" s="16" t="s">
        <v>35</v>
      </c>
      <c r="F109" s="16" t="s">
        <v>305</v>
      </c>
      <c r="G109" s="16" t="s">
        <v>306</v>
      </c>
      <c r="H109" s="20" t="s">
        <v>9</v>
      </c>
      <c r="I109" s="14" t="s">
        <v>31</v>
      </c>
      <c r="J109" s="15" t="s">
        <v>71</v>
      </c>
    </row>
    <row r="110" customFormat="false" ht="15" hidden="false" customHeight="false" outlineLevel="0" collapsed="false">
      <c r="A110" s="14" t="s">
        <v>4</v>
      </c>
      <c r="B110" s="14" t="n">
        <v>83555</v>
      </c>
      <c r="C110" s="15" t="s">
        <v>307</v>
      </c>
      <c r="D110" s="14" t="s">
        <v>39</v>
      </c>
      <c r="E110" s="16" t="s">
        <v>35</v>
      </c>
      <c r="F110" s="16" t="s">
        <v>308</v>
      </c>
      <c r="G110" s="16" t="s">
        <v>163</v>
      </c>
      <c r="H110" s="20" t="s">
        <v>9</v>
      </c>
      <c r="I110" s="14" t="s">
        <v>31</v>
      </c>
      <c r="J110" s="15" t="s">
        <v>71</v>
      </c>
    </row>
    <row r="111" customFormat="false" ht="15" hidden="false" customHeight="false" outlineLevel="0" collapsed="false">
      <c r="A111" s="14" t="s">
        <v>4</v>
      </c>
      <c r="B111" s="14" t="n">
        <v>83879</v>
      </c>
      <c r="C111" s="15" t="s">
        <v>309</v>
      </c>
      <c r="D111" s="14" t="s">
        <v>39</v>
      </c>
      <c r="E111" s="16" t="s">
        <v>35</v>
      </c>
      <c r="F111" s="16" t="s">
        <v>125</v>
      </c>
      <c r="G111" s="16" t="s">
        <v>134</v>
      </c>
      <c r="H111" s="20" t="s">
        <v>9</v>
      </c>
      <c r="I111" s="14" t="s">
        <v>31</v>
      </c>
      <c r="J111" s="15" t="s">
        <v>71</v>
      </c>
    </row>
    <row r="112" customFormat="false" ht="15" hidden="false" customHeight="false" outlineLevel="0" collapsed="false">
      <c r="A112" s="14" t="s">
        <v>4</v>
      </c>
      <c r="B112" s="14" t="n">
        <v>83337</v>
      </c>
      <c r="C112" s="15" t="s">
        <v>310</v>
      </c>
      <c r="D112" s="14" t="s">
        <v>101</v>
      </c>
      <c r="E112" s="14" t="s">
        <v>90</v>
      </c>
      <c r="F112" s="16" t="s">
        <v>195</v>
      </c>
      <c r="G112" s="16" t="s">
        <v>134</v>
      </c>
      <c r="H112" s="20" t="s">
        <v>9</v>
      </c>
      <c r="I112" s="14" t="s">
        <v>31</v>
      </c>
      <c r="J112" s="15" t="s">
        <v>71</v>
      </c>
    </row>
    <row r="113" customFormat="false" ht="15" hidden="false" customHeight="false" outlineLevel="0" collapsed="false">
      <c r="A113" s="14" t="s">
        <v>4</v>
      </c>
      <c r="B113" s="14" t="n">
        <v>83865</v>
      </c>
      <c r="C113" s="18" t="s">
        <v>311</v>
      </c>
      <c r="D113" s="14" t="s">
        <v>39</v>
      </c>
      <c r="E113" s="14" t="s">
        <v>40</v>
      </c>
      <c r="F113" s="16" t="s">
        <v>312</v>
      </c>
      <c r="G113" s="16" t="s">
        <v>134</v>
      </c>
      <c r="H113" s="20" t="s">
        <v>9</v>
      </c>
      <c r="I113" s="14" t="s">
        <v>31</v>
      </c>
      <c r="J113" s="15" t="s">
        <v>71</v>
      </c>
    </row>
    <row r="114" customFormat="false" ht="15" hidden="false" customHeight="false" outlineLevel="0" collapsed="false">
      <c r="A114" s="14" t="s">
        <v>4</v>
      </c>
      <c r="B114" s="14" t="n">
        <v>82897</v>
      </c>
      <c r="C114" s="15" t="s">
        <v>313</v>
      </c>
      <c r="D114" s="14" t="s">
        <v>101</v>
      </c>
      <c r="E114" s="14" t="s">
        <v>109</v>
      </c>
      <c r="F114" s="16" t="s">
        <v>152</v>
      </c>
      <c r="G114" s="16" t="s">
        <v>134</v>
      </c>
      <c r="H114" s="20" t="s">
        <v>9</v>
      </c>
      <c r="I114" s="14" t="s">
        <v>31</v>
      </c>
      <c r="J114" s="15" t="s">
        <v>71</v>
      </c>
    </row>
    <row r="115" customFormat="false" ht="29.85" hidden="false" customHeight="false" outlineLevel="0" collapsed="false">
      <c r="A115" s="14" t="s">
        <v>4</v>
      </c>
      <c r="B115" s="14" t="n">
        <v>83477</v>
      </c>
      <c r="C115" s="18" t="s">
        <v>314</v>
      </c>
      <c r="D115" s="14" t="s">
        <v>27</v>
      </c>
      <c r="E115" s="14" t="s">
        <v>109</v>
      </c>
      <c r="F115" s="16" t="s">
        <v>121</v>
      </c>
      <c r="G115" s="16" t="s">
        <v>246</v>
      </c>
      <c r="H115" s="20" t="s">
        <v>9</v>
      </c>
      <c r="I115" s="14" t="s">
        <v>31</v>
      </c>
      <c r="J115" s="15" t="s">
        <v>71</v>
      </c>
    </row>
    <row r="116" customFormat="false" ht="15" hidden="false" customHeight="false" outlineLevel="0" collapsed="false">
      <c r="A116" s="14" t="s">
        <v>4</v>
      </c>
      <c r="B116" s="14" t="n">
        <v>83078</v>
      </c>
      <c r="C116" s="18" t="s">
        <v>315</v>
      </c>
      <c r="D116" s="14" t="s">
        <v>27</v>
      </c>
      <c r="E116" s="14" t="s">
        <v>109</v>
      </c>
      <c r="F116" s="16" t="s">
        <v>266</v>
      </c>
      <c r="G116" s="16" t="s">
        <v>246</v>
      </c>
      <c r="H116" s="20" t="s">
        <v>9</v>
      </c>
      <c r="I116" s="14" t="s">
        <v>31</v>
      </c>
      <c r="J116" s="15" t="s">
        <v>71</v>
      </c>
    </row>
    <row r="117" customFormat="false" ht="15" hidden="false" customHeight="false" outlineLevel="0" collapsed="false">
      <c r="A117" s="14" t="s">
        <v>4</v>
      </c>
      <c r="B117" s="14" t="n">
        <v>85005</v>
      </c>
      <c r="C117" s="15" t="s">
        <v>316</v>
      </c>
      <c r="D117" s="14" t="s">
        <v>101</v>
      </c>
      <c r="E117" s="14" t="s">
        <v>102</v>
      </c>
      <c r="F117" s="16" t="s">
        <v>317</v>
      </c>
      <c r="G117" s="16" t="s">
        <v>318</v>
      </c>
      <c r="H117" s="20" t="s">
        <v>9</v>
      </c>
      <c r="I117" s="14" t="s">
        <v>31</v>
      </c>
      <c r="J117" s="15" t="s">
        <v>50</v>
      </c>
    </row>
    <row r="118" customFormat="false" ht="15" hidden="false" customHeight="false" outlineLevel="0" collapsed="false">
      <c r="A118" s="14" t="s">
        <v>4</v>
      </c>
      <c r="B118" s="14" t="n">
        <v>84412</v>
      </c>
      <c r="C118" s="18" t="s">
        <v>319</v>
      </c>
      <c r="D118" s="14" t="s">
        <v>39</v>
      </c>
      <c r="E118" s="16" t="s">
        <v>35</v>
      </c>
      <c r="F118" s="16" t="s">
        <v>239</v>
      </c>
      <c r="G118" s="16" t="s">
        <v>180</v>
      </c>
      <c r="H118" s="20" t="s">
        <v>9</v>
      </c>
      <c r="I118" s="14" t="s">
        <v>31</v>
      </c>
      <c r="J118" s="15" t="s">
        <v>71</v>
      </c>
    </row>
    <row r="119" customFormat="false" ht="15" hidden="false" customHeight="false" outlineLevel="0" collapsed="false">
      <c r="A119" s="14" t="s">
        <v>4</v>
      </c>
      <c r="B119" s="14"/>
      <c r="C119" s="18" t="s">
        <v>320</v>
      </c>
      <c r="D119" s="14" t="s">
        <v>27</v>
      </c>
      <c r="E119" s="14" t="s">
        <v>28</v>
      </c>
      <c r="F119" s="16" t="s">
        <v>127</v>
      </c>
      <c r="G119" s="16" t="s">
        <v>180</v>
      </c>
      <c r="H119" s="20" t="s">
        <v>9</v>
      </c>
      <c r="I119" s="14" t="s">
        <v>31</v>
      </c>
      <c r="J119" s="15" t="s">
        <v>71</v>
      </c>
    </row>
    <row r="120" customFormat="false" ht="15" hidden="false" customHeight="false" outlineLevel="0" collapsed="false">
      <c r="A120" s="14" t="s">
        <v>4</v>
      </c>
      <c r="B120" s="14" t="n">
        <v>84342</v>
      </c>
      <c r="C120" s="18" t="s">
        <v>321</v>
      </c>
      <c r="D120" s="14" t="s">
        <v>39</v>
      </c>
      <c r="E120" s="14" t="s">
        <v>40</v>
      </c>
      <c r="F120" s="16" t="s">
        <v>322</v>
      </c>
      <c r="G120" s="16" t="s">
        <v>180</v>
      </c>
      <c r="H120" s="20" t="s">
        <v>9</v>
      </c>
      <c r="I120" s="14" t="s">
        <v>31</v>
      </c>
      <c r="J120" s="15" t="s">
        <v>71</v>
      </c>
    </row>
    <row r="121" customFormat="false" ht="15" hidden="false" customHeight="false" outlineLevel="0" collapsed="false">
      <c r="A121" s="14" t="s">
        <v>4</v>
      </c>
      <c r="B121" s="14" t="n">
        <v>85245</v>
      </c>
      <c r="C121" s="18" t="s">
        <v>323</v>
      </c>
      <c r="D121" s="14" t="s">
        <v>101</v>
      </c>
      <c r="E121" s="14" t="s">
        <v>28</v>
      </c>
      <c r="F121" s="16" t="s">
        <v>324</v>
      </c>
      <c r="G121" s="16" t="s">
        <v>325</v>
      </c>
      <c r="H121" s="20" t="s">
        <v>9</v>
      </c>
      <c r="I121" s="14" t="s">
        <v>31</v>
      </c>
      <c r="J121" s="15" t="s">
        <v>50</v>
      </c>
    </row>
    <row r="122" customFormat="false" ht="15" hidden="false" customHeight="false" outlineLevel="0" collapsed="false">
      <c r="A122" s="14" t="s">
        <v>4</v>
      </c>
      <c r="B122" s="14" t="n">
        <v>83413</v>
      </c>
      <c r="C122" s="18" t="s">
        <v>326</v>
      </c>
      <c r="D122" s="14" t="s">
        <v>27</v>
      </c>
      <c r="E122" s="14" t="s">
        <v>109</v>
      </c>
      <c r="F122" s="16" t="s">
        <v>114</v>
      </c>
      <c r="G122" s="16" t="s">
        <v>327</v>
      </c>
      <c r="H122" s="20" t="s">
        <v>9</v>
      </c>
      <c r="I122" s="14" t="s">
        <v>31</v>
      </c>
      <c r="J122" s="15" t="s">
        <v>71</v>
      </c>
    </row>
    <row r="123" customFormat="false" ht="15" hidden="false" customHeight="false" outlineLevel="0" collapsed="false">
      <c r="A123" s="14" t="s">
        <v>4</v>
      </c>
      <c r="B123" s="14" t="n">
        <v>83414</v>
      </c>
      <c r="C123" s="18" t="s">
        <v>326</v>
      </c>
      <c r="D123" s="14" t="s">
        <v>27</v>
      </c>
      <c r="E123" s="14" t="s">
        <v>109</v>
      </c>
      <c r="F123" s="16" t="s">
        <v>114</v>
      </c>
      <c r="G123" s="16" t="s">
        <v>327</v>
      </c>
      <c r="H123" s="20" t="s">
        <v>9</v>
      </c>
      <c r="I123" s="14" t="s">
        <v>31</v>
      </c>
      <c r="J123" s="15" t="s">
        <v>71</v>
      </c>
    </row>
    <row r="124" customFormat="false" ht="15" hidden="false" customHeight="false" outlineLevel="0" collapsed="false">
      <c r="A124" s="14" t="s">
        <v>4</v>
      </c>
      <c r="B124" s="14" t="n">
        <v>84411</v>
      </c>
      <c r="C124" s="18" t="s">
        <v>328</v>
      </c>
      <c r="D124" s="14" t="s">
        <v>27</v>
      </c>
      <c r="E124" s="14" t="s">
        <v>40</v>
      </c>
      <c r="F124" s="16" t="s">
        <v>239</v>
      </c>
      <c r="G124" s="16" t="s">
        <v>138</v>
      </c>
      <c r="H124" s="20" t="s">
        <v>9</v>
      </c>
      <c r="I124" s="14" t="s">
        <v>31</v>
      </c>
      <c r="J124" s="15" t="s">
        <v>71</v>
      </c>
    </row>
    <row r="125" customFormat="false" ht="15" hidden="false" customHeight="false" outlineLevel="0" collapsed="false">
      <c r="A125" s="14" t="s">
        <v>4</v>
      </c>
      <c r="B125" s="14" t="n">
        <v>84761</v>
      </c>
      <c r="C125" s="18" t="s">
        <v>329</v>
      </c>
      <c r="D125" s="14" t="s">
        <v>27</v>
      </c>
      <c r="E125" s="14" t="s">
        <v>40</v>
      </c>
      <c r="F125" s="16" t="s">
        <v>251</v>
      </c>
      <c r="G125" s="16" t="s">
        <v>183</v>
      </c>
      <c r="H125" s="20" t="s">
        <v>9</v>
      </c>
      <c r="I125" s="14" t="s">
        <v>31</v>
      </c>
      <c r="J125" s="15" t="s">
        <v>71</v>
      </c>
    </row>
    <row r="126" customFormat="false" ht="15" hidden="false" customHeight="false" outlineLevel="0" collapsed="false">
      <c r="A126" s="14" t="s">
        <v>4</v>
      </c>
      <c r="B126" s="14" t="n">
        <v>84095</v>
      </c>
      <c r="C126" s="18" t="s">
        <v>330</v>
      </c>
      <c r="D126" s="14" t="s">
        <v>27</v>
      </c>
      <c r="E126" s="14" t="s">
        <v>28</v>
      </c>
      <c r="F126" s="16" t="s">
        <v>103</v>
      </c>
      <c r="G126" s="16" t="s">
        <v>331</v>
      </c>
      <c r="H126" s="20" t="s">
        <v>9</v>
      </c>
      <c r="I126" s="14" t="s">
        <v>31</v>
      </c>
      <c r="J126" s="15" t="s">
        <v>71</v>
      </c>
    </row>
    <row r="127" customFormat="false" ht="15" hidden="false" customHeight="false" outlineLevel="0" collapsed="false">
      <c r="A127" s="14" t="s">
        <v>4</v>
      </c>
      <c r="B127" s="14" t="n">
        <v>83794</v>
      </c>
      <c r="C127" s="18" t="s">
        <v>332</v>
      </c>
      <c r="D127" s="14" t="s">
        <v>27</v>
      </c>
      <c r="E127" s="14" t="s">
        <v>28</v>
      </c>
      <c r="F127" s="16" t="s">
        <v>333</v>
      </c>
      <c r="G127" s="16" t="s">
        <v>185</v>
      </c>
      <c r="H127" s="20" t="s">
        <v>9</v>
      </c>
      <c r="I127" s="14" t="s">
        <v>31</v>
      </c>
      <c r="J127" s="15" t="s">
        <v>71</v>
      </c>
    </row>
    <row r="128" customFormat="false" ht="15" hidden="false" customHeight="false" outlineLevel="0" collapsed="false">
      <c r="A128" s="14" t="s">
        <v>4</v>
      </c>
      <c r="B128" s="14" t="n">
        <v>83794</v>
      </c>
      <c r="C128" s="18" t="s">
        <v>334</v>
      </c>
      <c r="D128" s="14" t="s">
        <v>27</v>
      </c>
      <c r="E128" s="14" t="s">
        <v>28</v>
      </c>
      <c r="F128" s="16" t="s">
        <v>333</v>
      </c>
      <c r="G128" s="16" t="s">
        <v>185</v>
      </c>
      <c r="H128" s="20" t="s">
        <v>9</v>
      </c>
      <c r="I128" s="14" t="s">
        <v>31</v>
      </c>
      <c r="J128" s="15" t="s">
        <v>71</v>
      </c>
    </row>
    <row r="129" customFormat="false" ht="15" hidden="false" customHeight="false" outlineLevel="0" collapsed="false">
      <c r="A129" s="14" t="s">
        <v>4</v>
      </c>
      <c r="B129" s="14" t="n">
        <v>83794</v>
      </c>
      <c r="C129" s="18" t="s">
        <v>335</v>
      </c>
      <c r="D129" s="14" t="s">
        <v>27</v>
      </c>
      <c r="E129" s="14" t="s">
        <v>28</v>
      </c>
      <c r="F129" s="16" t="s">
        <v>333</v>
      </c>
      <c r="G129" s="16" t="s">
        <v>185</v>
      </c>
      <c r="H129" s="20" t="s">
        <v>9</v>
      </c>
      <c r="I129" s="14" t="s">
        <v>31</v>
      </c>
      <c r="J129" s="15" t="s">
        <v>71</v>
      </c>
    </row>
    <row r="130" customFormat="false" ht="15" hidden="false" customHeight="false" outlineLevel="0" collapsed="false">
      <c r="A130" s="14" t="s">
        <v>4</v>
      </c>
      <c r="B130" s="14" t="n">
        <v>85213</v>
      </c>
      <c r="C130" s="15" t="s">
        <v>336</v>
      </c>
      <c r="D130" s="14" t="s">
        <v>101</v>
      </c>
      <c r="E130" s="16" t="s">
        <v>35</v>
      </c>
      <c r="F130" s="16" t="s">
        <v>242</v>
      </c>
      <c r="G130" s="16" t="s">
        <v>185</v>
      </c>
      <c r="H130" s="20" t="s">
        <v>9</v>
      </c>
      <c r="I130" s="14" t="s">
        <v>31</v>
      </c>
      <c r="J130" s="15" t="s">
        <v>71</v>
      </c>
    </row>
    <row r="131" customFormat="false" ht="15" hidden="false" customHeight="false" outlineLevel="0" collapsed="false">
      <c r="A131" s="14" t="s">
        <v>4</v>
      </c>
      <c r="B131" s="14" t="n">
        <v>84905</v>
      </c>
      <c r="C131" s="18" t="s">
        <v>304</v>
      </c>
      <c r="D131" s="14" t="s">
        <v>27</v>
      </c>
      <c r="E131" s="16" t="s">
        <v>35</v>
      </c>
      <c r="F131" s="16" t="s">
        <v>337</v>
      </c>
      <c r="G131" s="16" t="s">
        <v>148</v>
      </c>
      <c r="H131" s="20" t="s">
        <v>9</v>
      </c>
      <c r="I131" s="14" t="s">
        <v>31</v>
      </c>
      <c r="J131" s="15" t="s">
        <v>71</v>
      </c>
    </row>
    <row r="132" customFormat="false" ht="15" hidden="false" customHeight="false" outlineLevel="0" collapsed="false">
      <c r="A132" s="14" t="s">
        <v>4</v>
      </c>
      <c r="B132" s="14" t="n">
        <v>86313</v>
      </c>
      <c r="C132" s="15" t="s">
        <v>338</v>
      </c>
      <c r="D132" s="14" t="s">
        <v>27</v>
      </c>
      <c r="E132" s="14" t="s">
        <v>90</v>
      </c>
      <c r="F132" s="16" t="s">
        <v>339</v>
      </c>
      <c r="G132" s="16" t="s">
        <v>148</v>
      </c>
      <c r="H132" s="20" t="s">
        <v>9</v>
      </c>
      <c r="I132" s="14" t="s">
        <v>31</v>
      </c>
      <c r="J132" s="15" t="s">
        <v>50</v>
      </c>
    </row>
    <row r="133" customFormat="false" ht="15" hidden="false" customHeight="false" outlineLevel="0" collapsed="false">
      <c r="A133" s="14" t="s">
        <v>4</v>
      </c>
      <c r="B133" s="14" t="n">
        <v>85316</v>
      </c>
      <c r="C133" s="18" t="s">
        <v>340</v>
      </c>
      <c r="D133" s="14" t="s">
        <v>27</v>
      </c>
      <c r="E133" s="14" t="s">
        <v>28</v>
      </c>
      <c r="F133" s="16" t="s">
        <v>208</v>
      </c>
      <c r="G133" s="16" t="s">
        <v>48</v>
      </c>
      <c r="H133" s="20" t="s">
        <v>9</v>
      </c>
      <c r="I133" s="14" t="s">
        <v>31</v>
      </c>
      <c r="J133" s="15" t="s">
        <v>71</v>
      </c>
    </row>
    <row r="134" customFormat="false" ht="15" hidden="false" customHeight="false" outlineLevel="0" collapsed="false">
      <c r="A134" s="14" t="s">
        <v>4</v>
      </c>
      <c r="B134" s="14" t="n">
        <v>84769</v>
      </c>
      <c r="C134" s="18" t="s">
        <v>341</v>
      </c>
      <c r="D134" s="14" t="s">
        <v>27</v>
      </c>
      <c r="E134" s="14" t="s">
        <v>90</v>
      </c>
      <c r="F134" s="16" t="s">
        <v>251</v>
      </c>
      <c r="G134" s="16" t="s">
        <v>48</v>
      </c>
      <c r="H134" s="20" t="s">
        <v>9</v>
      </c>
      <c r="I134" s="14" t="s">
        <v>31</v>
      </c>
      <c r="J134" s="15" t="s">
        <v>71</v>
      </c>
    </row>
    <row r="135" customFormat="false" ht="15" hidden="false" customHeight="false" outlineLevel="0" collapsed="false">
      <c r="A135" s="14" t="s">
        <v>4</v>
      </c>
      <c r="B135" s="14" t="n">
        <v>84770</v>
      </c>
      <c r="C135" s="18" t="s">
        <v>342</v>
      </c>
      <c r="D135" s="14" t="s">
        <v>27</v>
      </c>
      <c r="E135" s="14" t="s">
        <v>90</v>
      </c>
      <c r="F135" s="16" t="s">
        <v>251</v>
      </c>
      <c r="G135" s="16" t="s">
        <v>48</v>
      </c>
      <c r="H135" s="20" t="s">
        <v>9</v>
      </c>
      <c r="I135" s="14" t="s">
        <v>31</v>
      </c>
      <c r="J135" s="15" t="s">
        <v>71</v>
      </c>
    </row>
    <row r="136" customFormat="false" ht="15" hidden="false" customHeight="false" outlineLevel="0" collapsed="false">
      <c r="A136" s="14" t="s">
        <v>4</v>
      </c>
      <c r="B136" s="14" t="n">
        <v>86718</v>
      </c>
      <c r="C136" s="18" t="s">
        <v>343</v>
      </c>
      <c r="D136" s="14" t="s">
        <v>39</v>
      </c>
      <c r="E136" s="14" t="s">
        <v>40</v>
      </c>
      <c r="F136" s="16" t="s">
        <v>167</v>
      </c>
      <c r="G136" s="16" t="s">
        <v>167</v>
      </c>
      <c r="H136" s="20" t="s">
        <v>9</v>
      </c>
      <c r="I136" s="14" t="s">
        <v>31</v>
      </c>
      <c r="J136" s="15" t="s">
        <v>50</v>
      </c>
    </row>
  </sheetData>
  <autoFilter ref="A1:J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2026-08-28T01:57:16Z</dcterms:created>
  <dc:creator>openpyxl</dc:creator>
  <dc:description/>
  <dc:language>en-US</dc:language>
  <cp:lastModifiedBy/>
  <dcterms:modified xsi:type="dcterms:W3CDTF">2026-08-28T01:57:16Z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